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ED352B82-0DF3-4B9E-8CEF-72D10617D7A4}" xr6:coauthVersionLast="47" xr6:coauthVersionMax="47" xr10:uidLastSave="{00000000-0000-0000-0000-000000000000}"/>
  <bookViews>
    <workbookView xWindow="-103" yWindow="-103" windowWidth="24892" windowHeight="14914" activeTab="1" xr2:uid="{8916BCC0-D10B-4CCC-9FE1-7915715D62E1}"/>
  </bookViews>
  <sheets>
    <sheet name="Descriptive" sheetId="1" r:id="rId1"/>
    <sheet name="Regression" sheetId="2" r:id="rId2"/>
    <sheet name="Moving Averages" sheetId="3" r:id="rId3"/>
    <sheet name="Probability" sheetId="4" r:id="rId4"/>
    <sheet name="Inferential" sheetId="5" r:id="rId5"/>
    <sheet name="Hypotheis Testing" sheetId="6" r:id="rId6"/>
    <sheet name="ANOVA" sheetId="7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9" i="4" l="1"/>
  <c r="C695" i="4"/>
  <c r="F312" i="6"/>
  <c r="F311" i="6"/>
  <c r="F310" i="6"/>
  <c r="F309" i="6"/>
  <c r="E370" i="7"/>
  <c r="D370" i="7"/>
  <c r="E368" i="7"/>
  <c r="E366" i="7"/>
  <c r="D364" i="7"/>
  <c r="H326" i="7"/>
  <c r="G326" i="7"/>
  <c r="F326" i="7"/>
  <c r="D328" i="7"/>
  <c r="C328" i="7"/>
  <c r="E327" i="7"/>
  <c r="D327" i="7"/>
  <c r="C327" i="7"/>
  <c r="E326" i="7"/>
  <c r="C326" i="7"/>
  <c r="C321" i="7"/>
  <c r="C314" i="7"/>
  <c r="D307" i="7"/>
  <c r="D285" i="7"/>
  <c r="D284" i="7"/>
  <c r="D298" i="7"/>
  <c r="E298" i="7"/>
  <c r="D299" i="7"/>
  <c r="E299" i="7" s="1"/>
  <c r="D300" i="7"/>
  <c r="E300" i="7"/>
  <c r="D301" i="7"/>
  <c r="E301" i="7"/>
  <c r="D302" i="7"/>
  <c r="E302" i="7"/>
  <c r="D303" i="7"/>
  <c r="E303" i="7" s="1"/>
  <c r="E297" i="7"/>
  <c r="D297" i="7"/>
  <c r="D286" i="7"/>
  <c r="E280" i="7"/>
  <c r="E279" i="7"/>
  <c r="D676" i="6"/>
  <c r="E676" i="6"/>
  <c r="D656" i="6"/>
  <c r="E656" i="6" s="1"/>
  <c r="D657" i="6"/>
  <c r="E657" i="6" s="1"/>
  <c r="D658" i="6"/>
  <c r="E658" i="6"/>
  <c r="D659" i="6"/>
  <c r="E659" i="6" s="1"/>
  <c r="D660" i="6"/>
  <c r="E660" i="6" s="1"/>
  <c r="D661" i="6"/>
  <c r="E661" i="6" s="1"/>
  <c r="D662" i="6"/>
  <c r="E662" i="6"/>
  <c r="D663" i="6"/>
  <c r="E663" i="6"/>
  <c r="D664" i="6"/>
  <c r="E664" i="6" s="1"/>
  <c r="D665" i="6"/>
  <c r="E665" i="6" s="1"/>
  <c r="D666" i="6"/>
  <c r="E666" i="6"/>
  <c r="D667" i="6"/>
  <c r="E667" i="6"/>
  <c r="D668" i="6"/>
  <c r="E668" i="6" s="1"/>
  <c r="D669" i="6"/>
  <c r="E669" i="6" s="1"/>
  <c r="D670" i="6"/>
  <c r="E670" i="6"/>
  <c r="D671" i="6"/>
  <c r="E671" i="6"/>
  <c r="D672" i="6"/>
  <c r="E672" i="6" s="1"/>
  <c r="D673" i="6"/>
  <c r="E673" i="6" s="1"/>
  <c r="D674" i="6"/>
  <c r="E674" i="6"/>
  <c r="D675" i="6"/>
  <c r="E675" i="6"/>
  <c r="E655" i="6"/>
  <c r="D655" i="6"/>
  <c r="C676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55" i="6"/>
  <c r="D605" i="6"/>
  <c r="C622" i="6"/>
  <c r="E599" i="6"/>
  <c r="F599" i="6"/>
  <c r="E580" i="6"/>
  <c r="F580" i="6" s="1"/>
  <c r="E581" i="6"/>
  <c r="F581" i="6" s="1"/>
  <c r="E582" i="6"/>
  <c r="F582" i="6"/>
  <c r="E583" i="6"/>
  <c r="F583" i="6"/>
  <c r="E584" i="6"/>
  <c r="F584" i="6" s="1"/>
  <c r="E585" i="6"/>
  <c r="F585" i="6" s="1"/>
  <c r="E586" i="6"/>
  <c r="F586" i="6"/>
  <c r="E587" i="6"/>
  <c r="F587" i="6"/>
  <c r="E588" i="6"/>
  <c r="F588" i="6" s="1"/>
  <c r="E589" i="6"/>
  <c r="F589" i="6" s="1"/>
  <c r="E590" i="6"/>
  <c r="F590" i="6"/>
  <c r="E591" i="6"/>
  <c r="F591" i="6"/>
  <c r="E592" i="6"/>
  <c r="F592" i="6" s="1"/>
  <c r="E593" i="6"/>
  <c r="F593" i="6" s="1"/>
  <c r="E594" i="6"/>
  <c r="F594" i="6"/>
  <c r="E595" i="6"/>
  <c r="F595" i="6"/>
  <c r="E596" i="6"/>
  <c r="F596" i="6" s="1"/>
  <c r="E597" i="6"/>
  <c r="F597" i="6" s="1"/>
  <c r="E598" i="6"/>
  <c r="F598" i="6"/>
  <c r="F579" i="6"/>
  <c r="E579" i="6"/>
  <c r="B581" i="6"/>
  <c r="C581" i="6"/>
  <c r="B582" i="6" s="1"/>
  <c r="C582" i="6" s="1"/>
  <c r="B583" i="6" s="1"/>
  <c r="C583" i="6" s="1"/>
  <c r="B584" i="6" s="1"/>
  <c r="C584" i="6" s="1"/>
  <c r="B585" i="6" s="1"/>
  <c r="C585" i="6" s="1"/>
  <c r="B586" i="6" s="1"/>
  <c r="C586" i="6" s="1"/>
  <c r="B587" i="6" s="1"/>
  <c r="C587" i="6" s="1"/>
  <c r="B588" i="6" s="1"/>
  <c r="C588" i="6" s="1"/>
  <c r="B589" i="6" s="1"/>
  <c r="C589" i="6" s="1"/>
  <c r="B590" i="6" s="1"/>
  <c r="C590" i="6" s="1"/>
  <c r="B591" i="6" s="1"/>
  <c r="C591" i="6" s="1"/>
  <c r="B592" i="6" s="1"/>
  <c r="C592" i="6" s="1"/>
  <c r="B593" i="6" s="1"/>
  <c r="C593" i="6" s="1"/>
  <c r="B594" i="6" s="1"/>
  <c r="C594" i="6" s="1"/>
  <c r="B595" i="6" s="1"/>
  <c r="C595" i="6" s="1"/>
  <c r="B596" i="6" s="1"/>
  <c r="C596" i="6" s="1"/>
  <c r="B597" i="6" s="1"/>
  <c r="C597" i="6" s="1"/>
  <c r="B598" i="6" s="1"/>
  <c r="C598" i="6" s="1"/>
  <c r="C580" i="6"/>
  <c r="B580" i="6"/>
  <c r="C579" i="6"/>
  <c r="C569" i="6"/>
  <c r="C568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46" i="6"/>
  <c r="C567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46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47" i="6"/>
  <c r="E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46" i="6"/>
  <c r="H513" i="6"/>
  <c r="H512" i="6"/>
  <c r="D114" i="7"/>
  <c r="E114" i="7"/>
  <c r="F114" i="7"/>
  <c r="D115" i="7"/>
  <c r="E115" i="7"/>
  <c r="F115" i="7"/>
  <c r="C115" i="7"/>
  <c r="C114" i="7"/>
  <c r="H87" i="7"/>
  <c r="G87" i="7"/>
  <c r="F87" i="7"/>
  <c r="E88" i="7"/>
  <c r="C88" i="7"/>
  <c r="E87" i="7"/>
  <c r="C87" i="7"/>
  <c r="D88" i="7"/>
  <c r="D87" i="7"/>
  <c r="C82" i="7"/>
  <c r="C61" i="7"/>
  <c r="F54" i="7"/>
  <c r="D48" i="7"/>
  <c r="D49" i="7"/>
  <c r="D50" i="7"/>
  <c r="D47" i="7"/>
  <c r="B48" i="7"/>
  <c r="B49" i="7"/>
  <c r="B50" i="7"/>
  <c r="B47" i="7"/>
  <c r="D38" i="7"/>
  <c r="E38" i="7" s="1"/>
  <c r="D39" i="7"/>
  <c r="E39" i="7" s="1"/>
  <c r="D40" i="7"/>
  <c r="E40" i="7" s="1"/>
  <c r="E37" i="7"/>
  <c r="D37" i="7"/>
  <c r="D30" i="7"/>
  <c r="C29" i="7"/>
  <c r="D29" i="7"/>
  <c r="E29" i="7"/>
  <c r="F29" i="7"/>
  <c r="E278" i="7"/>
  <c r="D234" i="7"/>
  <c r="D235" i="7" s="1"/>
  <c r="D233" i="7"/>
  <c r="G233" i="7" s="1"/>
  <c r="C226" i="7"/>
  <c r="D217" i="7"/>
  <c r="D216" i="7"/>
  <c r="D215" i="7"/>
  <c r="D214" i="7"/>
  <c r="D213" i="7"/>
  <c r="D212" i="7"/>
  <c r="D218" i="7" s="1"/>
  <c r="H191" i="7"/>
  <c r="G191" i="7"/>
  <c r="F191" i="7"/>
  <c r="E191" i="7"/>
  <c r="D191" i="7"/>
  <c r="C191" i="7"/>
  <c r="H190" i="7"/>
  <c r="G190" i="7"/>
  <c r="F190" i="7"/>
  <c r="E190" i="7"/>
  <c r="D192" i="7" s="1"/>
  <c r="D190" i="7"/>
  <c r="C190" i="7"/>
  <c r="D167" i="7"/>
  <c r="D166" i="7"/>
  <c r="G166" i="7" s="1"/>
  <c r="C145" i="7"/>
  <c r="C144" i="7"/>
  <c r="B137" i="7"/>
  <c r="D136" i="7"/>
  <c r="D135" i="7"/>
  <c r="D134" i="7"/>
  <c r="D133" i="7"/>
  <c r="D137" i="7" s="1"/>
  <c r="B127" i="7"/>
  <c r="E59" i="7"/>
  <c r="B41" i="7"/>
  <c r="D464" i="6"/>
  <c r="G457" i="6"/>
  <c r="E448" i="6"/>
  <c r="E449" i="6"/>
  <c r="E450" i="6"/>
  <c r="E451" i="6"/>
  <c r="E452" i="6"/>
  <c r="E447" i="6"/>
  <c r="D452" i="6"/>
  <c r="D451" i="6"/>
  <c r="D450" i="6"/>
  <c r="D449" i="6"/>
  <c r="D448" i="6"/>
  <c r="D447" i="6"/>
  <c r="E417" i="6"/>
  <c r="D417" i="6"/>
  <c r="G398" i="6"/>
  <c r="F398" i="6"/>
  <c r="E383" i="6"/>
  <c r="E384" i="6"/>
  <c r="E385" i="6"/>
  <c r="E386" i="6"/>
  <c r="E387" i="6"/>
  <c r="E388" i="6"/>
  <c r="E389" i="6"/>
  <c r="E390" i="6"/>
  <c r="D390" i="6"/>
  <c r="D389" i="6"/>
  <c r="D388" i="6"/>
  <c r="D387" i="6"/>
  <c r="D386" i="6"/>
  <c r="D385" i="6"/>
  <c r="D384" i="6"/>
  <c r="D383" i="6"/>
  <c r="G374" i="6"/>
  <c r="G375" i="6"/>
  <c r="C376" i="6"/>
  <c r="D376" i="6"/>
  <c r="E376" i="6"/>
  <c r="F376" i="6"/>
  <c r="F317" i="6"/>
  <c r="F319" i="6" s="1"/>
  <c r="F320" i="6" s="1"/>
  <c r="F318" i="6"/>
  <c r="D116" i="7" l="1"/>
  <c r="D126" i="7" s="1"/>
  <c r="E126" i="7" s="1"/>
  <c r="B51" i="7"/>
  <c r="C167" i="7"/>
  <c r="E167" i="7" s="1"/>
  <c r="E138" i="7"/>
  <c r="E41" i="7"/>
  <c r="D124" i="7"/>
  <c r="E124" i="7" s="1"/>
  <c r="D123" i="7"/>
  <c r="E123" i="7" s="1"/>
  <c r="D125" i="7"/>
  <c r="E125" i="7" s="1"/>
  <c r="E304" i="7"/>
  <c r="D202" i="7"/>
  <c r="E202" i="7" s="1"/>
  <c r="D201" i="7"/>
  <c r="E201" i="7" s="1"/>
  <c r="D203" i="7"/>
  <c r="E203" i="7" s="1"/>
  <c r="D199" i="7"/>
  <c r="E199" i="7" s="1"/>
  <c r="E205" i="7" s="1"/>
  <c r="D204" i="7"/>
  <c r="E204" i="7" s="1"/>
  <c r="D200" i="7"/>
  <c r="E200" i="7" s="1"/>
  <c r="C234" i="7"/>
  <c r="E234" i="7" s="1"/>
  <c r="E219" i="7"/>
  <c r="D51" i="7"/>
  <c r="D168" i="7"/>
  <c r="C237" i="6"/>
  <c r="D681" i="6"/>
  <c r="D599" i="6"/>
  <c r="B546" i="6"/>
  <c r="G498" i="6"/>
  <c r="C494" i="6"/>
  <c r="E484" i="6"/>
  <c r="D484" i="6"/>
  <c r="C484" i="6"/>
  <c r="F483" i="6"/>
  <c r="F482" i="6"/>
  <c r="C453" i="6"/>
  <c r="E443" i="6"/>
  <c r="D443" i="6"/>
  <c r="C443" i="6"/>
  <c r="F442" i="6"/>
  <c r="F441" i="6"/>
  <c r="C391" i="6"/>
  <c r="D391" i="6"/>
  <c r="E296" i="6"/>
  <c r="D288" i="6"/>
  <c r="F292" i="6" s="1"/>
  <c r="F299" i="6" s="1"/>
  <c r="B307" i="6" s="1"/>
  <c r="C307" i="6" s="1"/>
  <c r="C270" i="6"/>
  <c r="E251" i="6"/>
  <c r="F248" i="6"/>
  <c r="E218" i="6"/>
  <c r="B205" i="6"/>
  <c r="C205" i="6" s="1"/>
  <c r="E188" i="6"/>
  <c r="C182" i="6"/>
  <c r="C180" i="6"/>
  <c r="F147" i="6"/>
  <c r="E52" i="7" l="1"/>
  <c r="E206" i="7"/>
  <c r="F221" i="7" s="1"/>
  <c r="C233" i="7"/>
  <c r="E42" i="7"/>
  <c r="E127" i="7"/>
  <c r="F484" i="6"/>
  <c r="F443" i="6"/>
  <c r="G376" i="6"/>
  <c r="C546" i="6"/>
  <c r="E391" i="6"/>
  <c r="C235" i="7" l="1"/>
  <c r="E233" i="7"/>
  <c r="F233" i="7" s="1"/>
  <c r="H233" i="7" s="1"/>
  <c r="C166" i="7"/>
  <c r="E128" i="7"/>
  <c r="E140" i="7" s="1"/>
  <c r="E453" i="6"/>
  <c r="D453" i="6"/>
  <c r="B547" i="6"/>
  <c r="E494" i="6"/>
  <c r="D505" i="6" s="1"/>
  <c r="D494" i="6"/>
  <c r="C168" i="7" l="1"/>
  <c r="E166" i="7"/>
  <c r="F166" i="7" s="1"/>
  <c r="H166" i="7" s="1"/>
  <c r="C547" i="6"/>
  <c r="B548" i="6" l="1"/>
  <c r="C548" i="6" l="1"/>
  <c r="B549" i="6" l="1"/>
  <c r="C549" i="6" l="1"/>
  <c r="B550" i="6" l="1"/>
  <c r="C550" i="6" l="1"/>
  <c r="B551" i="6" l="1"/>
  <c r="C551" i="6" l="1"/>
  <c r="B552" i="6" l="1"/>
  <c r="C552" i="6" l="1"/>
  <c r="B553" i="6" l="1"/>
  <c r="C553" i="6" l="1"/>
  <c r="B554" i="6" l="1"/>
  <c r="C554" i="6" l="1"/>
  <c r="B555" i="6" l="1"/>
  <c r="C555" i="6" l="1"/>
  <c r="B556" i="6" l="1"/>
  <c r="C556" i="6" l="1"/>
  <c r="B557" i="6" l="1"/>
  <c r="C557" i="6" l="1"/>
  <c r="B558" i="6" l="1"/>
  <c r="C558" i="6" l="1"/>
  <c r="B559" i="6" l="1"/>
  <c r="C559" i="6" l="1"/>
  <c r="B560" i="6" l="1"/>
  <c r="C560" i="6" l="1"/>
  <c r="B561" i="6" l="1"/>
  <c r="C561" i="6" l="1"/>
  <c r="B562" i="6" l="1"/>
  <c r="C562" i="6" l="1"/>
  <c r="B563" i="6" l="1"/>
  <c r="C563" i="6" l="1"/>
  <c r="B564" i="6" l="1"/>
  <c r="C564" i="6" l="1"/>
  <c r="B565" i="6" l="1"/>
  <c r="C565" i="6" l="1"/>
  <c r="H189" i="5" l="1"/>
  <c r="C113" i="6"/>
  <c r="D113" i="6" s="1"/>
  <c r="I99" i="6"/>
  <c r="D97" i="6"/>
  <c r="J66" i="6"/>
  <c r="G63" i="6"/>
  <c r="E63" i="6"/>
  <c r="F283" i="5" l="1"/>
  <c r="E284" i="5" s="1"/>
  <c r="D283" i="5"/>
  <c r="H267" i="5"/>
  <c r="D268" i="5" s="1"/>
  <c r="F267" i="5"/>
  <c r="D252" i="5"/>
  <c r="G240" i="5"/>
  <c r="E240" i="5"/>
  <c r="C234" i="5"/>
  <c r="C232" i="5"/>
  <c r="D255" i="5" s="1"/>
  <c r="G218" i="5"/>
  <c r="D220" i="5" s="1"/>
  <c r="C210" i="5"/>
  <c r="C208" i="5"/>
  <c r="D192" i="5"/>
  <c r="C181" i="5"/>
  <c r="E162" i="5"/>
  <c r="I150" i="5"/>
  <c r="C131" i="5"/>
  <c r="C130" i="5"/>
  <c r="C129" i="5"/>
  <c r="C223" i="5" l="1"/>
  <c r="D223" i="5"/>
  <c r="I269" i="5"/>
  <c r="H269" i="5"/>
  <c r="C255" i="5"/>
  <c r="C1223" i="4" l="1"/>
  <c r="C1205" i="4"/>
  <c r="D1206" i="4" s="1"/>
  <c r="D1181" i="4"/>
  <c r="D1200" i="4" s="1"/>
  <c r="C1165" i="4"/>
  <c r="C1163" i="4"/>
  <c r="D1161" i="4"/>
  <c r="D1160" i="4"/>
  <c r="D1159" i="4"/>
  <c r="E1253" i="4"/>
  <c r="E1247" i="4"/>
  <c r="C1258" i="4" s="1"/>
  <c r="C1232" i="4"/>
  <c r="C1229" i="4"/>
  <c r="C1226" i="4"/>
  <c r="E1185" i="4"/>
  <c r="C1257" i="4" l="1"/>
  <c r="C1193" i="4"/>
  <c r="D1197" i="4"/>
  <c r="E1206" i="4"/>
  <c r="E1262" i="4" l="1"/>
  <c r="E1261" i="4"/>
  <c r="E1260" i="4"/>
  <c r="C1146" i="4"/>
  <c r="D1144" i="4"/>
  <c r="D1142" i="4"/>
  <c r="D1137" i="4"/>
  <c r="E1132" i="4"/>
  <c r="D1132" i="4"/>
  <c r="E1127" i="4"/>
  <c r="D1127" i="4"/>
  <c r="C1124" i="4"/>
  <c r="F975" i="4"/>
  <c r="F974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880" i="4"/>
  <c r="D936" i="4" s="1"/>
  <c r="E862" i="4"/>
  <c r="E863" i="4"/>
  <c r="E861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38" i="4"/>
  <c r="C794" i="4"/>
  <c r="D779" i="4"/>
  <c r="D781" i="4"/>
  <c r="C801" i="4"/>
  <c r="C799" i="4"/>
  <c r="C792" i="4"/>
  <c r="D778" i="4"/>
  <c r="D776" i="4"/>
  <c r="E859" i="4" l="1"/>
  <c r="D863" i="4"/>
  <c r="D934" i="4"/>
  <c r="D861" i="4"/>
  <c r="D935" i="4"/>
  <c r="D862" i="4"/>
  <c r="C1137" i="4"/>
  <c r="C1092" i="4"/>
  <c r="C1057" i="4"/>
  <c r="C1056" i="4"/>
  <c r="C1055" i="4"/>
  <c r="C1054" i="4"/>
  <c r="C1045" i="4"/>
  <c r="C972" i="4"/>
  <c r="C946" i="4"/>
  <c r="E750" i="4"/>
  <c r="E751" i="4" s="1"/>
  <c r="E975" i="4" l="1"/>
  <c r="E974" i="4"/>
  <c r="C952" i="4"/>
  <c r="C953" i="4"/>
  <c r="C954" i="4"/>
  <c r="C955" i="4"/>
  <c r="C956" i="4"/>
  <c r="C950" i="4"/>
  <c r="C951" i="4"/>
  <c r="C931" i="4"/>
  <c r="D859" i="4"/>
  <c r="C757" i="4"/>
  <c r="E752" i="4"/>
  <c r="C957" i="4" l="1"/>
  <c r="E961" i="4"/>
  <c r="E960" i="4"/>
  <c r="E959" i="4"/>
  <c r="C758" i="4"/>
  <c r="C760" i="4"/>
  <c r="C735" i="4" l="1"/>
  <c r="C692" i="4"/>
  <c r="C693" i="4"/>
  <c r="C694" i="4"/>
  <c r="C696" i="4"/>
  <c r="C691" i="4"/>
  <c r="C690" i="4"/>
  <c r="D671" i="4"/>
  <c r="D670" i="4"/>
  <c r="D669" i="4"/>
  <c r="C662" i="4"/>
  <c r="C663" i="4"/>
  <c r="C664" i="4"/>
  <c r="C665" i="4"/>
  <c r="C666" i="4"/>
  <c r="C661" i="4"/>
  <c r="E642" i="4"/>
  <c r="E641" i="4"/>
  <c r="E640" i="4"/>
  <c r="C632" i="4"/>
  <c r="C633" i="4"/>
  <c r="C634" i="4"/>
  <c r="C635" i="4"/>
  <c r="C636" i="4"/>
  <c r="C637" i="4"/>
  <c r="C631" i="4"/>
  <c r="D640" i="4" s="1"/>
  <c r="F612" i="4"/>
  <c r="F611" i="4"/>
  <c r="F610" i="4"/>
  <c r="F609" i="4"/>
  <c r="F601" i="4"/>
  <c r="F602" i="4"/>
  <c r="F603" i="4"/>
  <c r="F604" i="4"/>
  <c r="F605" i="4"/>
  <c r="F600" i="4"/>
  <c r="E600" i="4"/>
  <c r="E601" i="4"/>
  <c r="E602" i="4"/>
  <c r="E603" i="4"/>
  <c r="E604" i="4"/>
  <c r="E605" i="4"/>
  <c r="D601" i="4"/>
  <c r="E609" i="4" s="1"/>
  <c r="D602" i="4"/>
  <c r="D603" i="4"/>
  <c r="D604" i="4"/>
  <c r="D605" i="4"/>
  <c r="D600" i="4"/>
  <c r="C555" i="4"/>
  <c r="D555" i="4" s="1"/>
  <c r="C554" i="4"/>
  <c r="D554" i="4" s="1"/>
  <c r="C525" i="4"/>
  <c r="D525" i="4" s="1"/>
  <c r="D501" i="4"/>
  <c r="D500" i="4"/>
  <c r="C476" i="4"/>
  <c r="D476" i="4" s="1"/>
  <c r="C486" i="4"/>
  <c r="D486" i="4" s="1"/>
  <c r="C485" i="4"/>
  <c r="D485" i="4" s="1"/>
  <c r="C484" i="4"/>
  <c r="D484" i="4" s="1"/>
  <c r="C483" i="4"/>
  <c r="D483" i="4" s="1"/>
  <c r="C482" i="4"/>
  <c r="D482" i="4" s="1"/>
  <c r="C481" i="4"/>
  <c r="D481" i="4" s="1"/>
  <c r="C480" i="4"/>
  <c r="C479" i="4"/>
  <c r="D479" i="4" s="1"/>
  <c r="C478" i="4"/>
  <c r="C477" i="4"/>
  <c r="E460" i="4"/>
  <c r="E461" i="4"/>
  <c r="E462" i="4"/>
  <c r="E459" i="4"/>
  <c r="C446" i="4"/>
  <c r="D446" i="4" s="1"/>
  <c r="C447" i="4"/>
  <c r="D447" i="4" s="1"/>
  <c r="C448" i="4"/>
  <c r="D448" i="4" s="1"/>
  <c r="C449" i="4"/>
  <c r="D449" i="4" s="1"/>
  <c r="C450" i="4"/>
  <c r="D450" i="4" s="1"/>
  <c r="C445" i="4"/>
  <c r="D445" i="4" s="1"/>
  <c r="C726" i="4"/>
  <c r="C725" i="4"/>
  <c r="C724" i="4"/>
  <c r="C723" i="4"/>
  <c r="C722" i="4"/>
  <c r="D710" i="4"/>
  <c r="C708" i="4"/>
  <c r="C683" i="4"/>
  <c r="C657" i="4"/>
  <c r="C627" i="4"/>
  <c r="C502" i="4"/>
  <c r="D463" i="4"/>
  <c r="D606" i="4" l="1"/>
  <c r="E463" i="4"/>
  <c r="C467" i="4" s="1"/>
  <c r="F460" i="4" s="1"/>
  <c r="C556" i="4"/>
  <c r="D556" i="4" s="1"/>
  <c r="D557" i="4" s="1"/>
  <c r="E558" i="4" s="1"/>
  <c r="D642" i="4"/>
  <c r="C526" i="4"/>
  <c r="D526" i="4" s="1"/>
  <c r="E612" i="4"/>
  <c r="E611" i="4"/>
  <c r="D641" i="4"/>
  <c r="D480" i="4"/>
  <c r="E610" i="4"/>
  <c r="D478" i="4"/>
  <c r="D477" i="4"/>
  <c r="C667" i="4"/>
  <c r="C487" i="4"/>
  <c r="E606" i="4"/>
  <c r="D502" i="4"/>
  <c r="E504" i="4" s="1"/>
  <c r="C451" i="4"/>
  <c r="C638" i="4"/>
  <c r="D451" i="4"/>
  <c r="C453" i="4" s="1"/>
  <c r="E445" i="4" s="1"/>
  <c r="F462" i="4" l="1"/>
  <c r="F459" i="4"/>
  <c r="F461" i="4"/>
  <c r="C557" i="4"/>
  <c r="D487" i="4"/>
  <c r="D489" i="4" s="1"/>
  <c r="E477" i="4" s="1"/>
  <c r="E446" i="4"/>
  <c r="C527" i="4"/>
  <c r="E556" i="4"/>
  <c r="E554" i="4"/>
  <c r="E555" i="4"/>
  <c r="E500" i="4"/>
  <c r="E501" i="4"/>
  <c r="E447" i="4"/>
  <c r="E449" i="4"/>
  <c r="E448" i="4"/>
  <c r="E450" i="4"/>
  <c r="D527" i="4"/>
  <c r="E528" i="4" s="1"/>
  <c r="F463" i="4" l="1"/>
  <c r="C468" i="4" s="1"/>
  <c r="C469" i="4" s="1"/>
  <c r="E480" i="4"/>
  <c r="E485" i="4"/>
  <c r="E482" i="4"/>
  <c r="E486" i="4"/>
  <c r="E484" i="4"/>
  <c r="E483" i="4"/>
  <c r="E478" i="4"/>
  <c r="E476" i="4"/>
  <c r="E479" i="4"/>
  <c r="E557" i="4"/>
  <c r="E559" i="4" s="1"/>
  <c r="E560" i="4" s="1"/>
  <c r="E481" i="4"/>
  <c r="E451" i="4"/>
  <c r="C454" i="4" s="1"/>
  <c r="C455" i="4" s="1"/>
  <c r="E526" i="4"/>
  <c r="E525" i="4"/>
  <c r="E502" i="4"/>
  <c r="E505" i="4" s="1"/>
  <c r="E506" i="4" s="1"/>
  <c r="C407" i="4"/>
  <c r="C406" i="4"/>
  <c r="C405" i="4"/>
  <c r="C404" i="4"/>
  <c r="C403" i="4"/>
  <c r="C402" i="4"/>
  <c r="C368" i="4"/>
  <c r="C367" i="4"/>
  <c r="F366" i="4"/>
  <c r="C366" i="4"/>
  <c r="C365" i="4"/>
  <c r="C364" i="4"/>
  <c r="C363" i="4"/>
  <c r="C311" i="4"/>
  <c r="E311" i="4" s="1"/>
  <c r="D311" i="4" s="1"/>
  <c r="C310" i="4"/>
  <c r="D310" i="4" s="1"/>
  <c r="D285" i="4"/>
  <c r="D284" i="4"/>
  <c r="D283" i="4"/>
  <c r="D234" i="4"/>
  <c r="E487" i="4" l="1"/>
  <c r="D490" i="4" s="1"/>
  <c r="D491" i="4" s="1"/>
  <c r="E527" i="4"/>
  <c r="E529" i="4" s="1"/>
  <c r="E530" i="4" s="1"/>
  <c r="C408" i="4"/>
  <c r="C369" i="4"/>
  <c r="D286" i="4"/>
  <c r="C290" i="4" s="1"/>
  <c r="E310" i="4"/>
  <c r="E312" i="4" s="1"/>
  <c r="C314" i="4" s="1"/>
  <c r="C289" i="4"/>
  <c r="C288" i="4"/>
  <c r="D312" i="4"/>
  <c r="C313" i="4" s="1"/>
  <c r="C291" i="4" l="1"/>
  <c r="C145" i="4" l="1"/>
  <c r="C144" i="4"/>
  <c r="C143" i="4"/>
  <c r="C142" i="4"/>
  <c r="C141" i="4"/>
  <c r="C140" i="4"/>
  <c r="G7" i="3" l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6" i="3"/>
  <c r="G5" i="3"/>
  <c r="G3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D24" i="3"/>
  <c r="D8" i="3"/>
  <c r="D9" i="3"/>
  <c r="D10" i="3"/>
  <c r="E10" i="3" s="1"/>
  <c r="D11" i="3"/>
  <c r="D12" i="3"/>
  <c r="D13" i="3"/>
  <c r="D14" i="3"/>
  <c r="E13" i="3" s="1"/>
  <c r="D15" i="3"/>
  <c r="E15" i="3" s="1"/>
  <c r="D16" i="3"/>
  <c r="E16" i="3" s="1"/>
  <c r="D17" i="3"/>
  <c r="D18" i="3"/>
  <c r="E18" i="3" s="1"/>
  <c r="D19" i="3"/>
  <c r="D20" i="3"/>
  <c r="D21" i="3"/>
  <c r="D22" i="3"/>
  <c r="E21" i="3" s="1"/>
  <c r="D23" i="3"/>
  <c r="E23" i="3" s="1"/>
  <c r="D7" i="3"/>
  <c r="E7" i="3" s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7" i="3"/>
  <c r="F235" i="2"/>
  <c r="G218" i="2"/>
  <c r="G219" i="2"/>
  <c r="G220" i="2"/>
  <c r="G221" i="2"/>
  <c r="G222" i="2"/>
  <c r="G223" i="2"/>
  <c r="G217" i="2"/>
  <c r="C200" i="2"/>
  <c r="E22" i="3" l="1"/>
  <c r="E20" i="3"/>
  <c r="E12" i="3"/>
  <c r="E19" i="3"/>
  <c r="E11" i="3"/>
  <c r="E17" i="3"/>
  <c r="E9" i="3"/>
  <c r="E14" i="3"/>
  <c r="E8" i="3"/>
  <c r="G141" i="2"/>
  <c r="G140" i="2"/>
  <c r="G139" i="2"/>
  <c r="J68" i="2"/>
  <c r="J67" i="2"/>
  <c r="J66" i="2"/>
  <c r="J65" i="2"/>
  <c r="J64" i="2"/>
  <c r="J63" i="2"/>
  <c r="K60" i="2"/>
  <c r="K61" i="2"/>
  <c r="K62" i="2"/>
  <c r="J62" i="2"/>
  <c r="J61" i="2"/>
  <c r="J60" i="2"/>
  <c r="E65" i="2"/>
  <c r="G62" i="2"/>
  <c r="G61" i="2"/>
  <c r="G60" i="2"/>
  <c r="I49" i="2"/>
  <c r="J49" i="2"/>
  <c r="K49" i="2"/>
  <c r="I50" i="2"/>
  <c r="J50" i="2" s="1"/>
  <c r="K50" i="2" s="1"/>
  <c r="I51" i="2"/>
  <c r="J51" i="2"/>
  <c r="K51" i="2"/>
  <c r="I52" i="2"/>
  <c r="J52" i="2"/>
  <c r="K52" i="2" s="1"/>
  <c r="I53" i="2"/>
  <c r="J53" i="2"/>
  <c r="K53" i="2" s="1"/>
  <c r="I54" i="2"/>
  <c r="J54" i="2"/>
  <c r="K54" i="2"/>
  <c r="I55" i="2"/>
  <c r="J55" i="2" s="1"/>
  <c r="K55" i="2" s="1"/>
  <c r="K48" i="2"/>
  <c r="J48" i="2"/>
  <c r="I48" i="2"/>
  <c r="D99" i="2"/>
  <c r="E99" i="2"/>
  <c r="F99" i="2"/>
  <c r="G99" i="2"/>
  <c r="H99" i="2"/>
  <c r="C99" i="2"/>
  <c r="C68" i="2"/>
  <c r="C67" i="2"/>
  <c r="C66" i="2"/>
  <c r="C65" i="2"/>
  <c r="C268" i="2"/>
  <c r="B268" i="2"/>
  <c r="D267" i="2"/>
  <c r="E267" i="2" s="1"/>
  <c r="D266" i="2"/>
  <c r="E266" i="2" s="1"/>
  <c r="D265" i="2"/>
  <c r="E265" i="2" s="1"/>
  <c r="E264" i="2"/>
  <c r="D264" i="2"/>
  <c r="D263" i="2"/>
  <c r="E263" i="2" s="1"/>
  <c r="D262" i="2"/>
  <c r="E262" i="2" s="1"/>
  <c r="D261" i="2"/>
  <c r="E261" i="2" s="1"/>
  <c r="E268" i="2" l="1"/>
  <c r="C64" i="2" l="1"/>
  <c r="C63" i="2"/>
  <c r="H49" i="2"/>
  <c r="H50" i="2"/>
  <c r="H57" i="2" s="1"/>
  <c r="H51" i="2"/>
  <c r="H52" i="2"/>
  <c r="H53" i="2"/>
  <c r="H54" i="2"/>
  <c r="H55" i="2"/>
  <c r="H48" i="2"/>
  <c r="D62" i="2"/>
  <c r="C62" i="2"/>
  <c r="D61" i="2"/>
  <c r="C61" i="2"/>
  <c r="D49" i="2"/>
  <c r="F49" i="2" s="1"/>
  <c r="F57" i="2" s="1"/>
  <c r="E49" i="2"/>
  <c r="G49" i="2" s="1"/>
  <c r="G57" i="2" s="1"/>
  <c r="D50" i="2"/>
  <c r="F50" i="2" s="1"/>
  <c r="E50" i="2"/>
  <c r="G50" i="2"/>
  <c r="D51" i="2"/>
  <c r="F51" i="2" s="1"/>
  <c r="E51" i="2"/>
  <c r="G51" i="2" s="1"/>
  <c r="D52" i="2"/>
  <c r="E52" i="2"/>
  <c r="F52" i="2"/>
  <c r="G52" i="2"/>
  <c r="D53" i="2"/>
  <c r="F53" i="2" s="1"/>
  <c r="E53" i="2"/>
  <c r="G53" i="2" s="1"/>
  <c r="D54" i="2"/>
  <c r="E54" i="2"/>
  <c r="F54" i="2"/>
  <c r="G54" i="2"/>
  <c r="D55" i="2"/>
  <c r="F55" i="2" s="1"/>
  <c r="E55" i="2"/>
  <c r="G55" i="2" s="1"/>
  <c r="G48" i="2"/>
  <c r="F48" i="2"/>
  <c r="E48" i="2"/>
  <c r="E56" i="2" s="1"/>
  <c r="D48" i="2"/>
  <c r="D60" i="2"/>
  <c r="C60" i="2"/>
  <c r="C56" i="2"/>
  <c r="C57" i="2"/>
  <c r="B57" i="2"/>
  <c r="B56" i="2"/>
  <c r="G224" i="2"/>
  <c r="E57" i="2"/>
  <c r="H56" i="2" l="1"/>
  <c r="D56" i="2"/>
  <c r="F56" i="2"/>
  <c r="G56" i="2"/>
  <c r="D57" i="2"/>
  <c r="K56" i="2"/>
  <c r="B472" i="1" l="1"/>
  <c r="A473" i="1" s="1"/>
  <c r="B473" i="1" s="1"/>
  <c r="A474" i="1" s="1"/>
  <c r="B474" i="1" s="1"/>
  <c r="A475" i="1" s="1"/>
  <c r="B475" i="1" s="1"/>
  <c r="A476" i="1" s="1"/>
  <c r="B476" i="1" s="1"/>
  <c r="A477" i="1" s="1"/>
  <c r="B477" i="1" s="1"/>
  <c r="A478" i="1" s="1"/>
  <c r="B478" i="1" s="1"/>
  <c r="A479" i="1" s="1"/>
  <c r="B479" i="1" s="1"/>
  <c r="C454" i="1"/>
  <c r="C455" i="1" s="1"/>
  <c r="D448" i="1"/>
  <c r="E448" i="1"/>
  <c r="F448" i="1"/>
  <c r="C448" i="1"/>
  <c r="C453" i="1"/>
  <c r="G434" i="1"/>
  <c r="G433" i="1"/>
  <c r="H431" i="1"/>
  <c r="G431" i="1"/>
  <c r="H430" i="1"/>
  <c r="G430" i="1"/>
  <c r="H429" i="1"/>
  <c r="G429" i="1"/>
  <c r="H427" i="1"/>
  <c r="G427" i="1"/>
  <c r="H426" i="1"/>
  <c r="G426" i="1"/>
  <c r="H428" i="1" l="1"/>
  <c r="G428" i="1"/>
  <c r="D266" i="1" l="1"/>
  <c r="D260" i="1"/>
  <c r="D261" i="1"/>
  <c r="D262" i="1"/>
  <c r="D263" i="1"/>
  <c r="D259" i="1"/>
  <c r="C210" i="1"/>
  <c r="D209" i="1"/>
  <c r="D208" i="1"/>
  <c r="C209" i="1"/>
  <c r="C208" i="1"/>
  <c r="D207" i="1"/>
  <c r="C207" i="1"/>
  <c r="E185" i="1"/>
  <c r="E184" i="1"/>
  <c r="E183" i="1"/>
  <c r="E180" i="1"/>
  <c r="E179" i="1"/>
  <c r="E178" i="1"/>
  <c r="D193" i="1"/>
  <c r="C193" i="1"/>
  <c r="C123" i="1"/>
  <c r="G123" i="1" s="1"/>
  <c r="E88" i="1"/>
  <c r="E89" i="1"/>
  <c r="E90" i="1"/>
  <c r="E87" i="1"/>
  <c r="E66" i="1"/>
  <c r="E67" i="1"/>
  <c r="E68" i="1"/>
  <c r="E69" i="1"/>
  <c r="E65" i="1"/>
  <c r="C70" i="1"/>
  <c r="B124" i="1" l="1"/>
  <c r="C124" i="1" s="1"/>
  <c r="D123" i="1"/>
  <c r="E123" i="1" s="1"/>
  <c r="D41" i="1"/>
  <c r="D40" i="1"/>
  <c r="D39" i="1"/>
  <c r="D55" i="1"/>
  <c r="C55" i="1"/>
  <c r="B31" i="1"/>
  <c r="B32" i="1" s="1"/>
  <c r="D403" i="1"/>
  <c r="D404" i="1"/>
  <c r="D405" i="1"/>
  <c r="D406" i="1"/>
  <c r="D407" i="1"/>
  <c r="D408" i="1"/>
  <c r="D409" i="1"/>
  <c r="D410" i="1"/>
  <c r="D402" i="1"/>
  <c r="D401" i="1"/>
  <c r="B401" i="1"/>
  <c r="E401" i="1" s="1"/>
  <c r="F401" i="1" l="1"/>
  <c r="C30" i="1"/>
  <c r="D30" i="1" s="1"/>
  <c r="C24" i="1"/>
  <c r="D24" i="1" s="1"/>
  <c r="C27" i="1"/>
  <c r="D27" i="1" s="1"/>
  <c r="C23" i="1"/>
  <c r="D23" i="1" s="1"/>
  <c r="C25" i="1"/>
  <c r="D25" i="1" s="1"/>
  <c r="C26" i="1"/>
  <c r="D26" i="1" s="1"/>
  <c r="C29" i="1"/>
  <c r="D29" i="1" s="1"/>
  <c r="C28" i="1"/>
  <c r="D28" i="1" s="1"/>
  <c r="D42" i="1"/>
  <c r="D124" i="1"/>
  <c r="E124" i="1" s="1"/>
  <c r="B125" i="1"/>
  <c r="G124" i="1"/>
  <c r="A402" i="1"/>
  <c r="D411" i="1"/>
  <c r="C125" i="1" l="1"/>
  <c r="B402" i="1"/>
  <c r="A403" i="1" s="1"/>
  <c r="E402" i="1" l="1"/>
  <c r="B126" i="1"/>
  <c r="D125" i="1"/>
  <c r="E125" i="1" s="1"/>
  <c r="G125" i="1"/>
  <c r="B403" i="1"/>
  <c r="A404" i="1" s="1"/>
  <c r="E403" i="1" l="1"/>
  <c r="F403" i="1" s="1"/>
  <c r="F402" i="1"/>
  <c r="C126" i="1"/>
  <c r="G126" i="1" s="1"/>
  <c r="B404" i="1"/>
  <c r="A405" i="1" s="1"/>
  <c r="F353" i="1"/>
  <c r="F354" i="1"/>
  <c r="F355" i="1"/>
  <c r="F356" i="1"/>
  <c r="F357" i="1"/>
  <c r="F358" i="1"/>
  <c r="F359" i="1"/>
  <c r="F360" i="1"/>
  <c r="F361" i="1"/>
  <c r="F352" i="1"/>
  <c r="E354" i="1"/>
  <c r="E355" i="1"/>
  <c r="E356" i="1"/>
  <c r="E357" i="1"/>
  <c r="E358" i="1"/>
  <c r="E359" i="1"/>
  <c r="E360" i="1"/>
  <c r="E361" i="1"/>
  <c r="E353" i="1"/>
  <c r="E352" i="1"/>
  <c r="C229" i="1"/>
  <c r="C315" i="1"/>
  <c r="C316" i="1" s="1"/>
  <c r="G200" i="1"/>
  <c r="G204" i="1"/>
  <c r="F417" i="1" l="1"/>
  <c r="E404" i="1"/>
  <c r="G355" i="1"/>
  <c r="G360" i="1"/>
  <c r="B127" i="1"/>
  <c r="D126" i="1"/>
  <c r="E126" i="1" s="1"/>
  <c r="G357" i="1"/>
  <c r="G359" i="1"/>
  <c r="G358" i="1"/>
  <c r="G353" i="1"/>
  <c r="G361" i="1"/>
  <c r="E362" i="1"/>
  <c r="G356" i="1"/>
  <c r="G352" i="1"/>
  <c r="G354" i="1"/>
  <c r="B405" i="1"/>
  <c r="A406" i="1" s="1"/>
  <c r="E277" i="1"/>
  <c r="E278" i="1" s="1"/>
  <c r="D287" i="1"/>
  <c r="B264" i="1"/>
  <c r="C230" i="1"/>
  <c r="G299" i="1" l="1"/>
  <c r="F404" i="1"/>
  <c r="E405" i="1"/>
  <c r="C127" i="1"/>
  <c r="G127" i="1" s="1"/>
  <c r="G362" i="1"/>
  <c r="G365" i="1" s="1"/>
  <c r="H355" i="1" s="1"/>
  <c r="B406" i="1"/>
  <c r="A407" i="1" s="1"/>
  <c r="G370" i="1"/>
  <c r="G369" i="1"/>
  <c r="G368" i="1"/>
  <c r="E279" i="1"/>
  <c r="E280" i="1" s="1"/>
  <c r="E281" i="1" s="1"/>
  <c r="G298" i="1" s="1"/>
  <c r="G304" i="1" s="1"/>
  <c r="D264" i="1"/>
  <c r="C266" i="1" s="1"/>
  <c r="F414" i="1" l="1"/>
  <c r="F405" i="1"/>
  <c r="E406" i="1"/>
  <c r="E260" i="1"/>
  <c r="E261" i="1"/>
  <c r="E262" i="1"/>
  <c r="E263" i="1"/>
  <c r="E259" i="1"/>
  <c r="B128" i="1"/>
  <c r="D127" i="1"/>
  <c r="E127" i="1" s="1"/>
  <c r="H356" i="1"/>
  <c r="H352" i="1"/>
  <c r="H357" i="1"/>
  <c r="H353" i="1"/>
  <c r="H354" i="1"/>
  <c r="H360" i="1"/>
  <c r="H358" i="1"/>
  <c r="H359" i="1"/>
  <c r="G372" i="1"/>
  <c r="H361" i="1"/>
  <c r="B407" i="1"/>
  <c r="A408" i="1" s="1"/>
  <c r="E282" i="1"/>
  <c r="E283" i="1" s="1"/>
  <c r="G300" i="1" s="1"/>
  <c r="F406" i="1" l="1"/>
  <c r="E407" i="1"/>
  <c r="F418" i="1"/>
  <c r="C414" i="1" s="1"/>
  <c r="G301" i="1"/>
  <c r="G302" i="1" s="1"/>
  <c r="E264" i="1"/>
  <c r="C267" i="1" s="1"/>
  <c r="C268" i="1" s="1"/>
  <c r="C128" i="1"/>
  <c r="G128" i="1" s="1"/>
  <c r="H362" i="1"/>
  <c r="G366" i="1" s="1"/>
  <c r="G367" i="1" s="1"/>
  <c r="G371" i="1" s="1"/>
  <c r="B408" i="1"/>
  <c r="A409" i="1" s="1"/>
  <c r="E284" i="1"/>
  <c r="E285" i="1" s="1"/>
  <c r="D154" i="1"/>
  <c r="C144" i="1"/>
  <c r="J101" i="1"/>
  <c r="J100" i="1"/>
  <c r="D91" i="1"/>
  <c r="E91" i="1"/>
  <c r="D93" i="1" s="1"/>
  <c r="G305" i="1" l="1"/>
  <c r="E408" i="1"/>
  <c r="F407" i="1"/>
  <c r="B145" i="1"/>
  <c r="E144" i="1"/>
  <c r="F88" i="1"/>
  <c r="F89" i="1"/>
  <c r="F90" i="1"/>
  <c r="F87" i="1"/>
  <c r="B129" i="1"/>
  <c r="D128" i="1"/>
  <c r="E128" i="1" s="1"/>
  <c r="B409" i="1"/>
  <c r="A410" i="1" s="1"/>
  <c r="E286" i="1"/>
  <c r="E70" i="1"/>
  <c r="C78" i="1" s="1"/>
  <c r="C39" i="1"/>
  <c r="E409" i="1" l="1"/>
  <c r="F408" i="1"/>
  <c r="F144" i="1"/>
  <c r="C145" i="1"/>
  <c r="B146" i="1" s="1"/>
  <c r="E145" i="1"/>
  <c r="F66" i="1"/>
  <c r="F67" i="1"/>
  <c r="F69" i="1"/>
  <c r="F68" i="1"/>
  <c r="F65" i="1"/>
  <c r="C129" i="1"/>
  <c r="B410" i="1"/>
  <c r="E410" i="1" s="1"/>
  <c r="F91" i="1"/>
  <c r="D94" i="1" s="1"/>
  <c r="D95" i="1" s="1"/>
  <c r="D31" i="1"/>
  <c r="C31" i="1"/>
  <c r="F410" i="1" l="1"/>
  <c r="F409" i="1"/>
  <c r="D32" i="1"/>
  <c r="C40" i="1" s="1"/>
  <c r="C41" i="1" s="1"/>
  <c r="C42" i="1" s="1"/>
  <c r="B130" i="1"/>
  <c r="D129" i="1"/>
  <c r="E129" i="1" s="1"/>
  <c r="F145" i="1"/>
  <c r="G129" i="1"/>
  <c r="C146" i="1"/>
  <c r="B147" i="1" s="1"/>
  <c r="F70" i="1"/>
  <c r="C79" i="1" s="1"/>
  <c r="E146" i="1" l="1"/>
  <c r="F146" i="1" s="1"/>
  <c r="C147" i="1"/>
  <c r="B148" i="1" s="1"/>
  <c r="C130" i="1"/>
  <c r="G130" i="1" s="1"/>
  <c r="C80" i="1"/>
  <c r="C81" i="1" s="1"/>
  <c r="F411" i="1"/>
  <c r="F413" i="1" s="1"/>
  <c r="G401" i="1" l="1"/>
  <c r="H401" i="1"/>
  <c r="G403" i="1"/>
  <c r="H403" i="1"/>
  <c r="H402" i="1"/>
  <c r="G402" i="1"/>
  <c r="G404" i="1"/>
  <c r="H404" i="1"/>
  <c r="G405" i="1"/>
  <c r="H405" i="1"/>
  <c r="H406" i="1"/>
  <c r="G406" i="1"/>
  <c r="G407" i="1"/>
  <c r="H407" i="1"/>
  <c r="G408" i="1"/>
  <c r="H408" i="1"/>
  <c r="H410" i="1"/>
  <c r="G410" i="1"/>
  <c r="G409" i="1"/>
  <c r="H409" i="1"/>
  <c r="E147" i="1"/>
  <c r="F147" i="1" s="1"/>
  <c r="B131" i="1"/>
  <c r="D130" i="1"/>
  <c r="E130" i="1" s="1"/>
  <c r="C148" i="1"/>
  <c r="B149" i="1" s="1"/>
  <c r="E148" i="1" l="1"/>
  <c r="F148" i="1" s="1"/>
  <c r="C149" i="1"/>
  <c r="B150" i="1" s="1"/>
  <c r="C131" i="1"/>
  <c r="G131" i="1" s="1"/>
  <c r="G411" i="1"/>
  <c r="F415" i="1" s="1"/>
  <c r="F416" i="1" s="1"/>
  <c r="C413" i="1" s="1"/>
  <c r="H411" i="1"/>
  <c r="C415" i="1" l="1"/>
  <c r="E149" i="1"/>
  <c r="F149" i="1" s="1"/>
  <c r="B132" i="1"/>
  <c r="D131" i="1"/>
  <c r="E131" i="1" s="1"/>
  <c r="C150" i="1"/>
  <c r="B151" i="1" s="1"/>
  <c r="E150" i="1" l="1"/>
  <c r="F150" i="1" s="1"/>
  <c r="C151" i="1"/>
  <c r="B152" i="1" s="1"/>
  <c r="C132" i="1"/>
  <c r="D132" i="1" s="1"/>
  <c r="E132" i="1" s="1"/>
  <c r="E151" i="1" l="1"/>
  <c r="F151" i="1" s="1"/>
  <c r="G132" i="1"/>
  <c r="C152" i="1"/>
  <c r="B153" i="1" s="1"/>
  <c r="E133" i="1"/>
  <c r="F123" i="1" l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E152" i="1"/>
  <c r="C153" i="1"/>
  <c r="E153" i="1"/>
  <c r="F132" i="1"/>
  <c r="H132" i="1" s="1"/>
  <c r="F152" i="1" l="1"/>
  <c r="F153" i="1"/>
  <c r="H123" i="1"/>
  <c r="H133" i="1" s="1"/>
  <c r="F133" i="1"/>
  <c r="F154" i="1" l="1"/>
  <c r="C156" i="1" s="1"/>
  <c r="G153" i="1" s="1"/>
  <c r="G148" i="1" l="1"/>
  <c r="G151" i="1"/>
  <c r="G149" i="1"/>
  <c r="G147" i="1"/>
  <c r="G146" i="1"/>
  <c r="G145" i="1"/>
  <c r="G150" i="1"/>
  <c r="G152" i="1"/>
  <c r="G144" i="1"/>
  <c r="G154" i="1" l="1"/>
  <c r="C157" i="1" s="1"/>
  <c r="C158" i="1" s="1"/>
  <c r="C159" i="1" s="1"/>
  <c r="G566" i="6" l="1"/>
  <c r="H566" i="6"/>
  <c r="E56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rishiraj dasgupta</author>
  </authors>
  <commentList>
    <comment ref="G56" authorId="0" shapeId="0" xr:uid="{9140FADA-B92D-466B-B9DC-21DDDF8CE16D}">
      <text>
        <r>
          <rPr>
            <b/>
            <sz val="9"/>
            <color indexed="81"/>
            <rFont val="Tahoma"/>
            <family val="2"/>
          </rPr>
          <t>rishiraj dasgupta: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This (y - y-bar)^2 = 750, is known as SST, Sum of Sq of Total errors</t>
        </r>
      </text>
    </comment>
    <comment ref="C250" authorId="0" shapeId="0" xr:uid="{8A664484-AD06-4DF9-A007-FF19DBC4E00E}">
      <text>
        <r>
          <rPr>
            <b/>
            <sz val="20"/>
            <color indexed="81"/>
            <rFont val="Tahoma"/>
            <family val="2"/>
          </rPr>
          <t>rishiraj dasgupta:
SST = n*Variance(y)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rishiraj dasgupta</author>
  </authors>
  <commentList>
    <comment ref="G5" authorId="0" shapeId="0" xr:uid="{10035909-AA97-40E1-ADBF-3B7080B1CA40}">
      <text>
        <r>
          <rPr>
            <b/>
            <sz val="9"/>
            <color indexed="81"/>
            <rFont val="Tahoma"/>
            <family val="2"/>
          </rPr>
          <t>rishiraj dasgupta: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Seeded Value, y1 = S1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Rishiraj</author>
  </authors>
  <commentList>
    <comment ref="C476" authorId="0" shapeId="0" xr:uid="{E81B8471-F6F8-495E-A1C5-53F0F303E3EB}">
      <text>
        <r>
          <rPr>
            <b/>
            <sz val="9"/>
            <color indexed="81"/>
            <rFont val="Tahoma"/>
            <family val="2"/>
          </rPr>
          <t>Rishiraj:</t>
        </r>
        <r>
          <rPr>
            <sz val="9"/>
            <color indexed="81"/>
            <rFont val="Tahoma"/>
            <family val="2"/>
          </rPr>
          <t xml:space="preserve">
(1,1)
</t>
        </r>
      </text>
    </comment>
    <comment ref="C477" authorId="0" shapeId="0" xr:uid="{2370923D-5F56-4443-A304-710B0AFA8CA1}">
      <text>
        <r>
          <rPr>
            <b/>
            <sz val="9"/>
            <color indexed="81"/>
            <rFont val="Tahoma"/>
            <family val="2"/>
          </rPr>
          <t>Rishiraj:</t>
        </r>
        <r>
          <rPr>
            <sz val="9"/>
            <color indexed="81"/>
            <rFont val="Tahoma"/>
            <family val="2"/>
          </rPr>
          <t xml:space="preserve">
(1,2), (2,1)</t>
        </r>
      </text>
    </comment>
    <comment ref="C478" authorId="0" shapeId="0" xr:uid="{BDD8CF35-B6E8-47A2-9F67-FCE6409FA6B3}">
      <text>
        <r>
          <rPr>
            <b/>
            <sz val="9"/>
            <color indexed="81"/>
            <rFont val="Tahoma"/>
            <family val="2"/>
          </rPr>
          <t>Rishiraj:</t>
        </r>
        <r>
          <rPr>
            <sz val="9"/>
            <color indexed="81"/>
            <rFont val="Tahoma"/>
            <family val="2"/>
          </rPr>
          <t xml:space="preserve">
(1,3), (3,1), (2,2)</t>
        </r>
      </text>
    </comment>
    <comment ref="C481" authorId="0" shapeId="0" xr:uid="{C71B8A38-9170-4989-AED2-68E2A4923E7F}">
      <text>
        <r>
          <rPr>
            <b/>
            <sz val="9"/>
            <color indexed="81"/>
            <rFont val="Tahoma"/>
            <family val="2"/>
          </rPr>
          <t>Rishiraj:</t>
        </r>
        <r>
          <rPr>
            <sz val="9"/>
            <color indexed="81"/>
            <rFont val="Tahoma"/>
            <family val="2"/>
          </rPr>
          <t xml:space="preserve">
(1,6),(6,1),(5,2), (2,5), (3,4), (4,3)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Rishiraj</author>
  </authors>
  <commentList>
    <comment ref="H267" authorId="0" shapeId="0" xr:uid="{6A76D80F-5293-42F1-A4CA-4483209025F2}">
      <text>
        <r>
          <rPr>
            <b/>
            <sz val="9"/>
            <color indexed="81"/>
            <rFont val="Tahoma"/>
            <family val="2"/>
          </rPr>
          <t>Rishiraj: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Degrees of Freedom = n-1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rishiraj dasgupta</author>
  </authors>
  <commentList>
    <comment ref="D280" authorId="0" shapeId="0" xr:uid="{CE92B643-B2F1-40F4-B02A-39C19C54D15C}">
      <text>
        <r>
          <rPr>
            <b/>
            <sz val="14"/>
            <color indexed="81"/>
            <rFont val="Tahoma"/>
            <family val="2"/>
          </rPr>
          <t>rishiraj dasgupta: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SST = n * Variance (y)</t>
        </r>
      </text>
    </comment>
    <comment ref="C286" authorId="0" shapeId="0" xr:uid="{D7B751FD-69CE-43AA-87CC-504FBCAA2568}">
      <text>
        <r>
          <rPr>
            <b/>
            <sz val="14"/>
            <color indexed="81"/>
            <rFont val="Tahoma"/>
            <family val="2"/>
          </rPr>
          <t>rishiraj dasgupta: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SST = n * Variance (y)</t>
        </r>
      </text>
    </comment>
  </commentList>
</comments>
</file>

<file path=xl/sharedStrings.xml><?xml version="1.0" encoding="utf-8"?>
<sst xmlns="http://schemas.openxmlformats.org/spreadsheetml/2006/main" count="3190" uniqueCount="1977">
  <si>
    <t>Welcome to Business Statistics</t>
  </si>
  <si>
    <t>Statistics: It is a science of collecting, collating, analysing and drawing conclusions from a set of data</t>
  </si>
  <si>
    <t>Variable: It is an entity which assumes different values, a variable can be qualitative (e.g. name, colour etc) or it can be qunatitative</t>
  </si>
  <si>
    <t>Quantitative variables may be Discrete or Continuous</t>
  </si>
  <si>
    <t>In Biz Stats we deal with Real Quantitative Variable</t>
  </si>
  <si>
    <t>Statistics, is studies in THREE parts</t>
  </si>
  <si>
    <t>D</t>
  </si>
  <si>
    <t>P</t>
  </si>
  <si>
    <t>I</t>
  </si>
  <si>
    <t>Descriptive Statistics:</t>
  </si>
  <si>
    <t>Central Tendency (e.g. mean, median etc), Dispersion (Range, Variance, statndard deviation etc)</t>
  </si>
  <si>
    <t>Skewness, Kurtosis etc</t>
  </si>
  <si>
    <t>Probabilitistic Statistics:</t>
  </si>
  <si>
    <t>General theory of probability, Probability Distribution (Discrete &amp; Continuous Distn)</t>
  </si>
  <si>
    <t>Inferential Statistics:</t>
  </si>
  <si>
    <t>Sampling Theory, Estimation, Hypothesis Testing, Regression and ANOVA</t>
  </si>
  <si>
    <t>Ex 1</t>
  </si>
  <si>
    <t>Calculate Mean and standard Deviation from SIMPLE Data</t>
  </si>
  <si>
    <t>Sl</t>
  </si>
  <si>
    <t>Age (x)</t>
  </si>
  <si>
    <t>Sum</t>
  </si>
  <si>
    <t>Mean</t>
  </si>
  <si>
    <t>Simple Arithmetic Mean (SAM): x-bar = SUM (xi) / N</t>
  </si>
  <si>
    <t>N is the number of observations</t>
  </si>
  <si>
    <t>Mean is the most popular, mathematically amenable and ubiquitious measure of Central Tendency</t>
  </si>
  <si>
    <t>Disadvantage: Mean fails to respect the diversity within the data set</t>
  </si>
  <si>
    <t>Deviation (xi - x-bar)</t>
  </si>
  <si>
    <t>Sum of Deviations abut Mean is always ZERO</t>
  </si>
  <si>
    <t>Sq of Deviation (xi - x-bar)^2</t>
  </si>
  <si>
    <t>Variance</t>
  </si>
  <si>
    <t>Variance (Simple data): = Sum(xi - x-bar)^2 / N</t>
  </si>
  <si>
    <t>Years</t>
  </si>
  <si>
    <t>Years^2</t>
  </si>
  <si>
    <t>sq root of variance, years</t>
  </si>
  <si>
    <t>45 is the ONLY OUTLIER</t>
  </si>
  <si>
    <r>
      <t xml:space="preserve">We can conclude that most of the data points are wthin 25.875 </t>
    </r>
    <r>
      <rPr>
        <b/>
        <sz val="20"/>
        <color theme="1"/>
        <rFont val="Calibri"/>
        <family val="2"/>
      </rPr>
      <t>± 7.491 (μ ± σ)</t>
    </r>
  </si>
  <si>
    <r>
      <t>SD (</t>
    </r>
    <r>
      <rPr>
        <b/>
        <sz val="20"/>
        <color theme="1"/>
        <rFont val="Calibri"/>
        <family val="2"/>
      </rPr>
      <t>σ)</t>
    </r>
    <r>
      <rPr>
        <b/>
        <sz val="20"/>
        <color theme="1"/>
        <rFont val="Calibri"/>
        <family val="2"/>
        <scheme val="minor"/>
      </rPr>
      <t xml:space="preserve"> represents the VOLATILITY or the RISK hidden in a data series</t>
    </r>
  </si>
  <si>
    <t>Coefficient of Variation = SD/Mean</t>
  </si>
  <si>
    <t>Relative mesaure of volatility</t>
  </si>
  <si>
    <t>Task 1</t>
  </si>
  <si>
    <t>MF A</t>
  </si>
  <si>
    <t>MF B</t>
  </si>
  <si>
    <t>Return</t>
  </si>
  <si>
    <t>Risk (SD of return)</t>
  </si>
  <si>
    <t>Coeff of Variation</t>
  </si>
  <si>
    <t>volatility across data set</t>
  </si>
  <si>
    <t>Lower the Coeff of variation lower the relative volatlity (higher the relative consistency), it helps us to compare</t>
  </si>
  <si>
    <t>Example 2</t>
  </si>
  <si>
    <t>Computing Mean and Standard Deviation from WEIGHTED data</t>
  </si>
  <si>
    <t>TFR Survey</t>
  </si>
  <si>
    <t>Socio Economic Background</t>
  </si>
  <si>
    <t>No of Respondents</t>
  </si>
  <si>
    <t>Metro</t>
  </si>
  <si>
    <t>Tier I</t>
  </si>
  <si>
    <t>Tier II+III</t>
  </si>
  <si>
    <t>Semi urban</t>
  </si>
  <si>
    <t>Rural</t>
  </si>
  <si>
    <t>Q 1</t>
  </si>
  <si>
    <t>Q 2</t>
  </si>
  <si>
    <t>Corresponding SD</t>
  </si>
  <si>
    <t>Weighted Arithmetic Mean (WAM), x-bar = SUM(w*x)/ SUM(w)</t>
  </si>
  <si>
    <t>Mean Number of children in the entire sample taken together</t>
  </si>
  <si>
    <t>w</t>
  </si>
  <si>
    <t>x</t>
  </si>
  <si>
    <t>w*x</t>
  </si>
  <si>
    <t>SD</t>
  </si>
  <si>
    <t>w*(x - MEAN)^2</t>
  </si>
  <si>
    <t>Ex 2</t>
  </si>
  <si>
    <t>On WEIGHTED Data</t>
  </si>
  <si>
    <t>Scenario</t>
  </si>
  <si>
    <t>Est Growth (%)</t>
  </si>
  <si>
    <t>Probability (%)</t>
  </si>
  <si>
    <t>Boom</t>
  </si>
  <si>
    <t>Moderate growth</t>
  </si>
  <si>
    <t>Slowdown</t>
  </si>
  <si>
    <t>Recession</t>
  </si>
  <si>
    <t>Mean expected GDP growth</t>
  </si>
  <si>
    <t>Exercse 3</t>
  </si>
  <si>
    <t>Classification and categorisation of raw data into Frequency Distribution Table:</t>
  </si>
  <si>
    <t>Max</t>
  </si>
  <si>
    <t>Min</t>
  </si>
  <si>
    <t>LCB</t>
  </si>
  <si>
    <t>UCB</t>
  </si>
  <si>
    <t>Class Boundaries</t>
  </si>
  <si>
    <t>Cumulative Frequency</t>
  </si>
  <si>
    <t>F</t>
  </si>
  <si>
    <t>Frequency</t>
  </si>
  <si>
    <t xml:space="preserve">f </t>
  </si>
  <si>
    <t>Advantages  of converting the raw data into a categorised class</t>
  </si>
  <si>
    <t>a.</t>
  </si>
  <si>
    <t>It helps us to visualise distribution of data, and where the date is denser and where it is rarer</t>
  </si>
  <si>
    <t>b.</t>
  </si>
  <si>
    <t>Relative Frequency or Probability</t>
  </si>
  <si>
    <t>%</t>
  </si>
  <si>
    <t>Class representative</t>
  </si>
  <si>
    <t>P(x)</t>
  </si>
  <si>
    <t>To compute Mean and SD from the Frequency Distn Table</t>
  </si>
  <si>
    <t>f*x</t>
  </si>
  <si>
    <t>f*(x - MEAN)^2</t>
  </si>
  <si>
    <t>variance</t>
  </si>
  <si>
    <t>Coeff of variation</t>
  </si>
  <si>
    <t>Volatility is opposite of the Consistency</t>
  </si>
  <si>
    <t>Partition Family</t>
  </si>
  <si>
    <t>It helps us to create a Probability Distribution from the raw data, which in turn helps us to build a predictive model</t>
  </si>
  <si>
    <t>using stochastic simulation</t>
  </si>
  <si>
    <t>Partitions are artificially introduced to divide the data range into 'n' equal parts, (n-1) partitions will be introduced</t>
  </si>
  <si>
    <t>Mesaures of Central tendency: Median</t>
  </si>
  <si>
    <t>Median is the Middle most observation, after arranging the data in Ascending / Descending order</t>
  </si>
  <si>
    <t>Median may or may not belong to the original given data set, it is a partition that we artificially introduce, such that 50% of the given data</t>
  </si>
  <si>
    <t>remains below this introduced partition (obviously the remaining 50% of the given data will be above this partition)</t>
  </si>
  <si>
    <t>Other partitions: which divides the data range into suitabe parts, e.g. Quartiles, Percentiles, Deciles, Quintiles</t>
  </si>
  <si>
    <t>Using the partitions, we can also introduce mesures of DISPERSION, we call such measures of dispersion as "RANGE Family" to measure</t>
  </si>
  <si>
    <t>Dispersion</t>
  </si>
  <si>
    <t>Such measures of DISPERSION are Inter-Quartile Range, Quartile Deviation etc.</t>
  </si>
  <si>
    <t>Variance and Std Dev are measures of Dispersion</t>
  </si>
  <si>
    <t>Mesaures of Dispersion can broadly be classified into</t>
  </si>
  <si>
    <t>two categories</t>
  </si>
  <si>
    <t>a) Deviation Family: Variance , Std Dev, MAD, Mean Dev abt Median</t>
  </si>
  <si>
    <t>b) Range Family: Range, Inter-Quartile Range, Quartile Deviation</t>
  </si>
  <si>
    <t>Example 1</t>
  </si>
  <si>
    <t>Data</t>
  </si>
  <si>
    <t>Sorted Data</t>
  </si>
  <si>
    <t>In case we have ODD no of data points, middle-most should be [(n+1)/2]th observation</t>
  </si>
  <si>
    <t>Median (x_m)</t>
  </si>
  <si>
    <t>If there are EVEN no of observations, then we do not have a UNIQUE Middle-most observation, so we take the average of two middle</t>
  </si>
  <si>
    <t>most observations</t>
  </si>
  <si>
    <t>SL</t>
  </si>
  <si>
    <t>Median</t>
  </si>
  <si>
    <t>Advantages of MEDIAN is it is not much affected by outliers or extreme observations</t>
  </si>
  <si>
    <t>Case 1</t>
  </si>
  <si>
    <t>N</t>
  </si>
  <si>
    <t>Case 2</t>
  </si>
  <si>
    <t>n</t>
  </si>
  <si>
    <t>Whenever we compare data with huge variation, then median is always a better measure of CT</t>
  </si>
  <si>
    <t>e.g, Salary band in a grade, Income level of a country or region, age of the population</t>
  </si>
  <si>
    <t>Major disadvantage of Median is that it is NOT mathematically amenable, so it is never used in subsequent mathematical</t>
  </si>
  <si>
    <t>treatment of the data especially in probability functions</t>
  </si>
  <si>
    <t>Quartiles</t>
  </si>
  <si>
    <t>If we want to divide the data into four equal parts, we need to introduce three partitions, commonly known as QUARTILES</t>
  </si>
  <si>
    <t>We have First Quartile (Q1), Second Quartile (Q2 or the MEDIAN) and Third Quartile (Q3)</t>
  </si>
  <si>
    <t>Q1 is such a partition, so that 25% of the given data remains below this value and 75% of the given data remains above this value</t>
  </si>
  <si>
    <t>Similarly, Q3 is such a partition, so that 75% of the given data remains below this value and 25% of the given data remains above this value</t>
  </si>
  <si>
    <t>Task 1 (to check whether you know what is LINEAR INTERPOLATION or not)</t>
  </si>
  <si>
    <t>What is the estimated revenue of the company in 2019?</t>
  </si>
  <si>
    <t>Rev_2019</t>
  </si>
  <si>
    <r>
      <t xml:space="preserve">The revenue of a company increased </t>
    </r>
    <r>
      <rPr>
        <b/>
        <i/>
        <sz val="18"/>
        <color theme="1"/>
        <rFont val="Calibri"/>
        <family val="2"/>
        <scheme val="minor"/>
      </rPr>
      <t>linearly</t>
    </r>
    <r>
      <rPr>
        <b/>
        <sz val="18"/>
        <color theme="1"/>
        <rFont val="Calibri"/>
        <family val="2"/>
        <scheme val="minor"/>
      </rPr>
      <t xml:space="preserve"> from 2015 to 2021. It was Rs. 35.3 cr in 2015 and in 2021 it was Rs. 177.6 cr.</t>
    </r>
  </si>
  <si>
    <t>Rs Cr</t>
  </si>
  <si>
    <t>In 6 years the change in rev is Rs. 142.3 cr</t>
  </si>
  <si>
    <t>In 1 year the change in rev is Rs. (142.3/6) cr</t>
  </si>
  <si>
    <t>In 4 years the change in rev is Rs. [(142.3/6)*4] cr</t>
  </si>
  <si>
    <t>Q1</t>
  </si>
  <si>
    <t>Q3</t>
  </si>
  <si>
    <t>Percentiles</t>
  </si>
  <si>
    <t>If we want to divide the data into 100 equal parts, we need to introduce 99 partitions, commonly known as PERCENTILES</t>
  </si>
  <si>
    <t>We denote percentiles by Pi, e.g. 95th Percentile will be denoted by P95</t>
  </si>
  <si>
    <t>For Example, P95 is such a partition, so that 95% of the given data is below this value and 5% of the given data is above this value</t>
  </si>
  <si>
    <t>Q1 = P25, Xm = P50, Q3 = P75</t>
  </si>
  <si>
    <t>Deciles</t>
  </si>
  <si>
    <t>If we want to divide the data into 10 equal parts, we need to introduce 9 partitions, commonly known as DECILES</t>
  </si>
  <si>
    <t>Obviously D5 is the Median, D1 = P10, D2 = P20 etc.</t>
  </si>
  <si>
    <t>Quintiles</t>
  </si>
  <si>
    <t>If we want to divide the data into 5 equal parts, we need to introduce 4 partitions, commonly known as QUINTILES</t>
  </si>
  <si>
    <t>Ql1 = P20, Ql2 = P40 etc</t>
  </si>
  <si>
    <t>These partitions help us to create Cut-offs and to link it to an objective such as Reward and Benfits of employees, Student's admission</t>
  </si>
  <si>
    <t>Introducing Partition into Weighted Data</t>
  </si>
  <si>
    <t>No of days</t>
  </si>
  <si>
    <t>No of cars sold on any given day</t>
  </si>
  <si>
    <t xml:space="preserve">Mean </t>
  </si>
  <si>
    <t>Average no of cars sold per day</t>
  </si>
  <si>
    <t>Risk (Std Dev)</t>
  </si>
  <si>
    <t>To introduce partitions in a categorised data (Freq Distn table)</t>
  </si>
  <si>
    <t>To introduce any partition, we need to identify the class where the partition will be introduced, and then we proceed to interpolate</t>
  </si>
  <si>
    <t>between the class boundaries to identify the exact location of the partition</t>
  </si>
  <si>
    <t>Step 1</t>
  </si>
  <si>
    <t>N/2 = 120/ 2 = 60</t>
  </si>
  <si>
    <t>Median Class</t>
  </si>
  <si>
    <t>Step 2</t>
  </si>
  <si>
    <t>To find out from the Cum Freq column, that (N/2)th data is occuring in which class. This class is known as the MEDIAN CLASS</t>
  </si>
  <si>
    <t>Step 3</t>
  </si>
  <si>
    <t>Is to estimate the value of the partition (e.g. Median), by interpolating between the class boundaries of the Median class</t>
  </si>
  <si>
    <t>Xm = L + [{(N/2) - F_m-1}/f_m] * c</t>
  </si>
  <si>
    <t>Xm is the median</t>
  </si>
  <si>
    <t>L is the LCB of the Median Class</t>
  </si>
  <si>
    <t>N is the total no of observations</t>
  </si>
  <si>
    <t>F_m-1 is the Cum Freq of the preceeding class of the median class</t>
  </si>
  <si>
    <t>f_m is the Freq of the Median Class</t>
  </si>
  <si>
    <t>c is the class interval or class width</t>
  </si>
  <si>
    <t>Q1 = L_Q1 + [{(N/4) - F_Q1-1}/f_Q1] * c</t>
  </si>
  <si>
    <t>Q3 = L_Q3 + [{(3N/4) - F_Q3-1}/f_Q3] * c</t>
  </si>
  <si>
    <t>Q1 class</t>
  </si>
  <si>
    <t>Q3 Class</t>
  </si>
  <si>
    <t>Inter-Quartile Range (Q3 - Q1)</t>
  </si>
  <si>
    <t>Semi-inter-quartile Range or Quartile Deviation ((Q3 - Q1)/2)</t>
  </si>
  <si>
    <r>
      <t xml:space="preserve">The revenue of a company increased </t>
    </r>
    <r>
      <rPr>
        <b/>
        <i/>
        <sz val="18"/>
        <color theme="1"/>
        <rFont val="Calibri"/>
        <family val="2"/>
        <scheme val="minor"/>
      </rPr>
      <t>Polynomially</t>
    </r>
    <r>
      <rPr>
        <b/>
        <sz val="18"/>
        <color theme="1"/>
        <rFont val="Calibri"/>
        <family val="2"/>
        <scheme val="minor"/>
      </rPr>
      <t xml:space="preserve"> from 2015 to 2021. It was Rs. 35.3 cr in 2015 and in 2021 it was Rs. 177.6 cr.</t>
    </r>
  </si>
  <si>
    <t>Assuming a compounded growth, what is the estimated revenue of the company in 2019?</t>
  </si>
  <si>
    <t>Task 2: Non Linear Interpolation (Compounded growth)</t>
  </si>
  <si>
    <t>F = P*(1+r)^n</t>
  </si>
  <si>
    <t>Here r is the Compounded Annual Growth Rate (CAGR)</t>
  </si>
  <si>
    <t>r = [(F/P)^(1/n)] - 1</t>
  </si>
  <si>
    <t>CAGR</t>
  </si>
  <si>
    <t>SAGR</t>
  </si>
  <si>
    <t>(assuming a Simple Interest)</t>
  </si>
  <si>
    <t>F = P + Prn = P[1 + rn]</t>
  </si>
  <si>
    <t>r = [(F/P) - 1]/n</t>
  </si>
  <si>
    <t>P95 = L_P95 + [{(0.95*N) - F_P95-1}/f_P95] * c</t>
  </si>
  <si>
    <t>P95</t>
  </si>
  <si>
    <t>P95 Class</t>
  </si>
  <si>
    <t>Pl Note that Simple interest implies LINEAR Growth and Compound Interest implies Polynomial growth</t>
  </si>
  <si>
    <t>Skewness:</t>
  </si>
  <si>
    <t>Higher the assymetry, higher the skewness (also known as BIAS), if the freq distn is perfectly symmetric, the skewness will be ZERO</t>
  </si>
  <si>
    <t>Skewness is  a statistical measure which tries quantify whether the freq distribution of the given data is symmetric or not</t>
  </si>
  <si>
    <t>In general Skewness tries to measure that a freq distn is how much away from being perfectly symmetric</t>
  </si>
  <si>
    <t>Karl Pearson's Coefficient of skewness:</t>
  </si>
  <si>
    <t>KPCS = 3*(Mean - Median)/SD</t>
  </si>
  <si>
    <t>This is an empirical formula</t>
  </si>
  <si>
    <t>From this formula, it follows that if the Mean &gt; Median, then we have POSITIVE SKEWNESS and if the Mean &lt; Median, then we have</t>
  </si>
  <si>
    <t>NEGATIVE SKEWNESS</t>
  </si>
  <si>
    <t>For perfect symmetry (ZERO SKEWNESS), Mean = Median = Mode, for this type of freq distn</t>
  </si>
  <si>
    <t>KPCS</t>
  </si>
  <si>
    <t>Bowley's Skewness:</t>
  </si>
  <si>
    <t>Bowley's Skewness = [(Q3 - Q2) - (Q2 - Q1)] / (Q3 - Q1)</t>
  </si>
  <si>
    <t>Where Q2 is obviously the Median</t>
  </si>
  <si>
    <t>data is rarer than the average density in the middle</t>
  </si>
  <si>
    <t>Bowley's Skewness</t>
  </si>
  <si>
    <t>Cum Freq</t>
  </si>
  <si>
    <t>Also measure KPCS and Bowley's skewness</t>
  </si>
  <si>
    <t>Q2</t>
  </si>
  <si>
    <t>Plot the Frequency distn and comment on the skewness</t>
  </si>
  <si>
    <t>f</t>
  </si>
  <si>
    <t>fx</t>
  </si>
  <si>
    <t>Meadina &amp; Q1 class</t>
  </si>
  <si>
    <t>Q3 class</t>
  </si>
  <si>
    <t>Kurtosis:</t>
  </si>
  <si>
    <t>Mesaurement of Kurtosis:</t>
  </si>
  <si>
    <t>Kurtosis =  [SUM(x - MEAN)^4/N] / s^4</t>
  </si>
  <si>
    <t>Simple data</t>
  </si>
  <si>
    <t>Kurtosis =  [SUM{w*(x - MEAN)^4}/SUM(w)] / s^4</t>
  </si>
  <si>
    <t>Weighted data</t>
  </si>
  <si>
    <t>where s is the std dev of the data</t>
  </si>
  <si>
    <t>Kurtosis</t>
  </si>
  <si>
    <t>Class boundaries</t>
  </si>
  <si>
    <t>Class Rep</t>
  </si>
  <si>
    <t>f*(x - Mean)^2</t>
  </si>
  <si>
    <t>f*(x - Mean)^4</t>
  </si>
  <si>
    <t>0  to 1 : Platykurtic</t>
  </si>
  <si>
    <t>1 to 5 : Mesokurtic</t>
  </si>
  <si>
    <t>&gt; 5 : Leptokurtic</t>
  </si>
  <si>
    <t>P67</t>
  </si>
  <si>
    <r>
      <t xml:space="preserve">Weighted variance, </t>
    </r>
    <r>
      <rPr>
        <b/>
        <sz val="28"/>
        <color theme="1"/>
        <rFont val="Calibri"/>
        <family val="2"/>
      </rPr>
      <t>σ^2 = SUM[w*(x - MEAN)^2] / SUM(w)</t>
    </r>
  </si>
  <si>
    <t>Correlation and Regression</t>
  </si>
  <si>
    <t>SSD</t>
  </si>
  <si>
    <t>MSD or Variance</t>
  </si>
  <si>
    <t>Std Dev</t>
  </si>
  <si>
    <t>Pop Quiz</t>
  </si>
  <si>
    <t>If we introduce a students aged 31 in this group</t>
  </si>
  <si>
    <t>Mean will go up</t>
  </si>
  <si>
    <t>SD will go down</t>
  </si>
  <si>
    <t>If we introduce a student aged 16.5 in this group</t>
  </si>
  <si>
    <t>Mean will go down</t>
  </si>
  <si>
    <t>SD will go up</t>
  </si>
  <si>
    <t>Column1</t>
  </si>
  <si>
    <t>Standard Error</t>
  </si>
  <si>
    <t>Mode</t>
  </si>
  <si>
    <t>Standard Deviation</t>
  </si>
  <si>
    <t>Sample Variance</t>
  </si>
  <si>
    <t>Skewness</t>
  </si>
  <si>
    <t>Range</t>
  </si>
  <si>
    <t>Minimum</t>
  </si>
  <si>
    <t>Maximum</t>
  </si>
  <si>
    <t>Count</t>
  </si>
  <si>
    <t>Weighted Sq of Deviation</t>
  </si>
  <si>
    <t>Category average no of children</t>
  </si>
  <si>
    <t>SWSD</t>
  </si>
  <si>
    <t>(273rd serial no., corresp value in the raw data, after arranged in ascending order)</t>
  </si>
  <si>
    <t>Slightly negative skewed</t>
  </si>
  <si>
    <t>Exercise 2</t>
  </si>
  <si>
    <t>Grp 1</t>
  </si>
  <si>
    <t>Grp 2</t>
  </si>
  <si>
    <t>Compare their Descriptive properties (Mean, Median, SD, Skewness, Kurtosis)</t>
  </si>
  <si>
    <t>Compare relative volatility and identify the group of data with higher CONSISTENCY</t>
  </si>
  <si>
    <t>Find the Combined mean and Combined SD of the two groups of data</t>
  </si>
  <si>
    <t>Q4</t>
  </si>
  <si>
    <t>If the student who has scored 38, leaves Grp 2 and joins Grp 1, how will it affect the existing volatilites of Grp 1 and Grp 2?</t>
  </si>
  <si>
    <t>Skew</t>
  </si>
  <si>
    <t>Kurt</t>
  </si>
  <si>
    <t>Combined</t>
  </si>
  <si>
    <t>Ex 3</t>
  </si>
  <si>
    <t>Share A</t>
  </si>
  <si>
    <t>Share B</t>
  </si>
  <si>
    <t>Share C</t>
  </si>
  <si>
    <t>Share D</t>
  </si>
  <si>
    <t>Mean Historical Return</t>
  </si>
  <si>
    <t>Risk (SD)</t>
  </si>
  <si>
    <t>Investment (Rs. Lakhs)</t>
  </si>
  <si>
    <t>Find the Average Portfolio Return and Average Portfolio Risk (SD)</t>
  </si>
  <si>
    <t>Average Return</t>
  </si>
  <si>
    <t>Average Variance</t>
  </si>
  <si>
    <t>Average Risk (SD)</t>
  </si>
  <si>
    <t>Ex 4</t>
  </si>
  <si>
    <t>We have 6 nearly identical machine parts produced in the same batch, the following table depicts the length of those eparts</t>
  </si>
  <si>
    <t>length (Cm)</t>
  </si>
  <si>
    <t>Qs</t>
  </si>
  <si>
    <t>Consider all possible samples of size 3, from this population and find Sample Mean and sample SD for all such sample and compare</t>
  </si>
  <si>
    <t>Cum Frequency</t>
  </si>
  <si>
    <t xml:space="preserve"> Frequency</t>
  </si>
  <si>
    <t>***</t>
  </si>
  <si>
    <t>If the Median is 118.23, find the Mean and SD of the variable</t>
  </si>
  <si>
    <t>Introduce P90 and P95 values in the data</t>
  </si>
  <si>
    <t>Create a Random data base of 100 data points having the following properties</t>
  </si>
  <si>
    <t>Critical Task</t>
  </si>
  <si>
    <t>Bi-variate and Multi-variate Data Analysis</t>
  </si>
  <si>
    <t>In Bi Variate data analysis, we primarily try to understand the Cause-Effect relationship between two variables, say x and y</t>
  </si>
  <si>
    <t>As a convention, we mark the dependent variable as y, plotted in vertical axis and the independent variable as x, plotted in horizontal axis</t>
  </si>
  <si>
    <t>The Relationship of y with x, may be linear (y = bx + a), or may be non-linear (e.g. exponential, polynomial, logarithmic etc)</t>
  </si>
  <si>
    <t>This algebriec function, which describes the relationship, helps us to capture the trend and estimate a forecasted value (predictive analysis)</t>
  </si>
  <si>
    <t>of y-variable</t>
  </si>
  <si>
    <t>This type of analyses leads us to forecasting, and is the first pilar of Predictive Analytics</t>
  </si>
  <si>
    <t>What is Regression?</t>
  </si>
  <si>
    <t>Regression is a statistical technique which finds the algebreic relationship between dependent and independent variable(s), by fitting</t>
  </si>
  <si>
    <t>the "BEST FIT" trend line (Or curve) among the given data points. Method of LEAST SQUARE is used to achieve the best fit</t>
  </si>
  <si>
    <t>What is a Time Series Data?</t>
  </si>
  <si>
    <t xml:space="preserve">As a special pseudo bi-variate data, we consider TIME SERIES DATA, where the x-axis by default depicts time (t). Time has no causal </t>
  </si>
  <si>
    <t>effect on the y-variable, we just merely depict the variation of y-variable (revenue, profit, no of employees etc.) over time</t>
  </si>
  <si>
    <t>What is Multi-variate data analysis?</t>
  </si>
  <si>
    <t>In statistics, Regression Analysis also include Multivariate analysis, where single dependent variable y, is examined for dependency against multiple</t>
  </si>
  <si>
    <t>independent variables (Or Predictors), in a linear relationship</t>
  </si>
  <si>
    <t>y = f(x1, x2, x3….) = a + b1x1 + b2x2 + b3x3 + ….... + b_k*x_k</t>
  </si>
  <si>
    <t>Three Possibilities:</t>
  </si>
  <si>
    <t>Linear Bivariate analysis (the relationship is assumed as y = bx + a), where b is the slope of the line and a is the intercept from y-axis</t>
  </si>
  <si>
    <t>(Also known as Simple Linear Regression, OLS regression, using method of least square to fit the trend line)</t>
  </si>
  <si>
    <t xml:space="preserve">Linear Multi-variate analysis the relationship is assumed as </t>
  </si>
  <si>
    <t>y = f(x1, x2,x3….) = a + b1x1 + b2x2 + b3x3 + ….... + b_k*x_k</t>
  </si>
  <si>
    <t>x1, x2, x3….are also called Predictors</t>
  </si>
  <si>
    <t>Non Linear Bi Variate Analysis (e.g. Exponential: y = a*e^(bx), Logarithmic: y = a + b*Ln(x), Parabolic: y = ax^2 + bx + c)</t>
  </si>
  <si>
    <t>Simple Linear Regression</t>
  </si>
  <si>
    <t>Steps</t>
  </si>
  <si>
    <t>To identify the dependent (y) and the independent variable (x) in a study, and establish a logical dependence</t>
  </si>
  <si>
    <t>(be careful about Spurious correlation and Domino effect)</t>
  </si>
  <si>
    <t>Plot a Scatter Diagram, and identify the trend (if any), the trend can be linear or non-linear</t>
  </si>
  <si>
    <t>Find the Correlation Coefficient ( r ), using KPCC formula</t>
  </si>
  <si>
    <t>Find the Coefficient of Determination (R^2), to test the significance of the Regression, that we are about to perform</t>
  </si>
  <si>
    <t>Perform the Regression and find the Regression equation (Linear or Non linear)</t>
  </si>
  <si>
    <t>Forecast the value of the dependent variable y, using the Regression equation, for an assumed value of the independent variable X</t>
  </si>
  <si>
    <t>Qtr</t>
  </si>
  <si>
    <t>Promo Budget</t>
  </si>
  <si>
    <t>Sales of Product 1</t>
  </si>
  <si>
    <t>Rs '000</t>
  </si>
  <si>
    <t>Rs Lakhs</t>
  </si>
  <si>
    <t>Deviations</t>
  </si>
  <si>
    <t>Sq of Deviations</t>
  </si>
  <si>
    <t>Product of Deviations</t>
  </si>
  <si>
    <t>Estimated Value of y, based on Trend Line equation, y = bx + a</t>
  </si>
  <si>
    <t>Residual Error</t>
  </si>
  <si>
    <t>Sq of Residual Error</t>
  </si>
  <si>
    <t>y</t>
  </si>
  <si>
    <t>x - x-bar</t>
  </si>
  <si>
    <t>y - y-bar</t>
  </si>
  <si>
    <t>(x - x-bar)^2</t>
  </si>
  <si>
    <t>(y - y-bar)^2</t>
  </si>
  <si>
    <t>(x - x-bar)*(y - y-bar)</t>
  </si>
  <si>
    <t>y-cap</t>
  </si>
  <si>
    <t>y - y-cap</t>
  </si>
  <si>
    <t>(y - y-cap)^2</t>
  </si>
  <si>
    <t>SUM</t>
  </si>
  <si>
    <t>This is known as SSE</t>
  </si>
  <si>
    <t>MEAN</t>
  </si>
  <si>
    <t>Concept of Residual Error (simply known as Error): It is the vertical distance between the best fit line and the individual given data points</t>
  </si>
  <si>
    <t>Least square method tries to Minimise the SSE (Sum of Sq of Errors)</t>
  </si>
  <si>
    <t>Co-variance</t>
  </si>
  <si>
    <t>Correlation, r</t>
  </si>
  <si>
    <t>R^2</t>
  </si>
  <si>
    <t>using R^2 = 1 - (SSE/SST)</t>
  </si>
  <si>
    <t>Slope, b</t>
  </si>
  <si>
    <t>y = bx + a</t>
  </si>
  <si>
    <t>Intercept, a</t>
  </si>
  <si>
    <t>Now, we substitute x = x-bar, y = y-bar, and get,  a = y-bar - b*x-bar</t>
  </si>
  <si>
    <t>Forecast, for say promo budget, x = 140</t>
  </si>
  <si>
    <t>For linear Bi-variate data, we need to compute a vital measure called COVARIANCE</t>
  </si>
  <si>
    <t>COVARIANCE = SUM[(x - x-bar)*(y - y-bar)] / N</t>
  </si>
  <si>
    <t>Co-variance determines the relative movement of x and y values, the sign of co-variance is vital to determine the sign of the slope</t>
  </si>
  <si>
    <t>and the sign of the correlation</t>
  </si>
  <si>
    <t>Karl Pearson's Coeff of Linear Correlation (KPCC), r = Covariance (between x and y) / [(SD of x) * (SD of y)]</t>
  </si>
  <si>
    <t>The abs value of r should be between 0% to 100% (or between 0 and 1), and the SIGN of r is determined by the sign of the covariance</t>
  </si>
  <si>
    <t>r = 81.89%, indicates a positive and HIGH correlation between the variables</t>
  </si>
  <si>
    <t>r merely tells you about the Degree of association between two variable, calculated only when LINEAR relatonships exists</t>
  </si>
  <si>
    <t xml:space="preserve">Coeff of Determination denoted by R^2, is a measure of significance of the regression model. Higher the value of R^2, stronger the regression </t>
  </si>
  <si>
    <t xml:space="preserve">model, or in other words the Best fit line , depicts the trend better and hence is suitable for prediction or forecast </t>
  </si>
  <si>
    <t>The actual value of R^2 is computed by R^2 = [1 - (SSE / SST)], where SSE is sum of squares of Residual Error and SST is sum of sq of Total Errors</t>
  </si>
  <si>
    <t>we shall learn this approach when we will learn ANOVA</t>
  </si>
  <si>
    <t>Residual Error (or simply known as ERROR) is the vertical distance (parallel to y-axis) from the given data points to the BEST FIT Line</t>
  </si>
  <si>
    <t>This Error is squared and summed up to compute SSE. This SSE is minimised in the Method of Least Square, to get the slope and intercept</t>
  </si>
  <si>
    <t>of the BEST Fit line (or the Best Fit Cuve)</t>
  </si>
  <si>
    <t>R^2 value of 67% is at best MODERATE</t>
  </si>
  <si>
    <t xml:space="preserve">Using method of LS, the SLOPE of the BEST FIT line is </t>
  </si>
  <si>
    <t>Slope, b = Covariance (between x and y) / Variance (x)</t>
  </si>
  <si>
    <t>and intercept, a = y-bar - b*x-bar</t>
  </si>
  <si>
    <t>So the eqn of the Regression Line (Trend Line) is  y = 0.7632x + 76.4129</t>
  </si>
  <si>
    <t>Scenario Table:</t>
  </si>
  <si>
    <t>Non Linear Bi-Variate Regression</t>
  </si>
  <si>
    <t>Traffic in a website</t>
  </si>
  <si>
    <t>In '000</t>
  </si>
  <si>
    <t>Type of Curve</t>
  </si>
  <si>
    <t>a</t>
  </si>
  <si>
    <t>b</t>
  </si>
  <si>
    <t>c</t>
  </si>
  <si>
    <t>Prediction for the Next Qtr, x = 9</t>
  </si>
  <si>
    <t>Exponential</t>
  </si>
  <si>
    <t>Logarithmic</t>
  </si>
  <si>
    <t>Parabolic</t>
  </si>
  <si>
    <t>Multi-Variate Data Analysis</t>
  </si>
  <si>
    <t>Model Building Approach:</t>
  </si>
  <si>
    <t>Happiness Index</t>
  </si>
  <si>
    <t>Consumption expenditure</t>
  </si>
  <si>
    <t>Time spent with Close people / oneself</t>
  </si>
  <si>
    <t>Sense of Liberty</t>
  </si>
  <si>
    <t>Scale of 100</t>
  </si>
  <si>
    <t>Rs. LPA</t>
  </si>
  <si>
    <t>Hours per week</t>
  </si>
  <si>
    <t>On a scale of 10</t>
  </si>
  <si>
    <t>x1</t>
  </si>
  <si>
    <t>x2</t>
  </si>
  <si>
    <t>x3</t>
  </si>
  <si>
    <t>NOTES:</t>
  </si>
  <si>
    <t>Parameters which you are including as predictors, should be as independent as possible, otherwise you will encounter MULTI-COLINEARITY Problem</t>
  </si>
  <si>
    <t>Pair-wise correlation should be as low as possible, indicating that the predictors (x, x2, x3…) should be as independent as possible</t>
  </si>
  <si>
    <t>When we have too many predictors, it is suggested that we run FACTOR Analysis, which finally GROUP all the predictors in few meaningful</t>
  </si>
  <si>
    <t>groups</t>
  </si>
  <si>
    <t>Then we can run the Multivariate Regression model, with only few paramets (predictors)</t>
  </si>
  <si>
    <t>Predict happines of Mr. Bean, with</t>
  </si>
  <si>
    <t>How to make a Multi-variate model stronger?</t>
  </si>
  <si>
    <t>i)</t>
  </si>
  <si>
    <t>More data (higher sample size n)</t>
  </si>
  <si>
    <t>ii)</t>
  </si>
  <si>
    <t>More appropriate predictors</t>
  </si>
  <si>
    <t>[If we have many predictors, it is suggested to run  a FACTOR Analysis, to group them into few meanigful predictors]</t>
  </si>
  <si>
    <t>iii)</t>
  </si>
  <si>
    <t>look at the quality data collected</t>
  </si>
  <si>
    <t>What to observe in a S/W output of Multi-variate Regression?</t>
  </si>
  <si>
    <t>Fit of the model by R^2, Adjusted R^2, Significance F, p-value of the coefficients of the variables x1, x2, x3…..</t>
  </si>
  <si>
    <t>the sign of the coefficients and the absolute value of the coefficients to understand the relative impact on y</t>
  </si>
  <si>
    <t>e.g. Ceteris paribus, Sense of Liberty has the highest impact (with coeff of 2.354) on happiness, in this model</t>
  </si>
  <si>
    <t>Spearman's Rank Correlation:</t>
  </si>
  <si>
    <t>In a beauty pageant, two judges award scores (out of 100) to 7 finalists.</t>
  </si>
  <si>
    <t>SCORES</t>
  </si>
  <si>
    <t>RANKS</t>
  </si>
  <si>
    <t>J1</t>
  </si>
  <si>
    <t>J2</t>
  </si>
  <si>
    <t>di^2</t>
  </si>
  <si>
    <t>A</t>
  </si>
  <si>
    <t>B</t>
  </si>
  <si>
    <t>C</t>
  </si>
  <si>
    <t>E</t>
  </si>
  <si>
    <t>G</t>
  </si>
  <si>
    <r>
      <t>Spearman's Rank Correlation, R_s = 1 - [[6*</t>
    </r>
    <r>
      <rPr>
        <b/>
        <sz val="18"/>
        <color theme="1"/>
        <rFont val="Calibri"/>
        <family val="2"/>
      </rPr>
      <t>Σ</t>
    </r>
    <r>
      <rPr>
        <b/>
        <sz val="18"/>
        <color theme="1"/>
        <rFont val="Calibri"/>
        <family val="2"/>
        <scheme val="minor"/>
      </rPr>
      <t>d^2)/(n*(n^2 - 1))]</t>
    </r>
  </si>
  <si>
    <t>n is the number of pairs of observation</t>
  </si>
  <si>
    <t>Spearman's Rank Correlation helps us to understand the degree of alignment in a qualitative judgement process</t>
  </si>
  <si>
    <t xml:space="preserve">NULL Hypothesis (H0): </t>
  </si>
  <si>
    <t>Mean of y</t>
  </si>
  <si>
    <t>The regression performed is NOT Significant</t>
  </si>
  <si>
    <t>Variance of y</t>
  </si>
  <si>
    <t>ALTERNATE Hypothesis (H1):</t>
  </si>
  <si>
    <t>The regression performed is Significant</t>
  </si>
  <si>
    <t xml:space="preserve">Computaion of Sum of squares of Residual Error, Regression Error, Total Error </t>
  </si>
  <si>
    <t>Sum of Squares of Residual error</t>
  </si>
  <si>
    <r>
      <t xml:space="preserve">SSE = </t>
    </r>
    <r>
      <rPr>
        <b/>
        <sz val="18"/>
        <color theme="1"/>
        <rFont val="Calibri"/>
        <family val="2"/>
      </rPr>
      <t>Σ (yi - y-cap)^2</t>
    </r>
  </si>
  <si>
    <t>Sum of Squares of Regression error</t>
  </si>
  <si>
    <r>
      <t xml:space="preserve">SSR = </t>
    </r>
    <r>
      <rPr>
        <b/>
        <sz val="18"/>
        <color theme="1"/>
        <rFont val="Calibri"/>
        <family val="2"/>
      </rPr>
      <t>Σ (y-cap - y-bar)^2</t>
    </r>
  </si>
  <si>
    <t>Sum of Squares of Total error</t>
  </si>
  <si>
    <r>
      <t xml:space="preserve">SST = </t>
    </r>
    <r>
      <rPr>
        <b/>
        <sz val="18"/>
        <color theme="1"/>
        <rFont val="Calibri"/>
        <family val="2"/>
      </rPr>
      <t>Σ (yi - y-bar)^2</t>
    </r>
  </si>
  <si>
    <t>SST is a given constant for a set of data</t>
  </si>
  <si>
    <t>yi are the given set of values of y</t>
  </si>
  <si>
    <t>y-bar is the Mean value of y</t>
  </si>
  <si>
    <t>y-cap is the estimated values of y, based on the best fit regression line, for the given set of values of x, y-cap_i = bxi + a</t>
  </si>
  <si>
    <t>Please note that SSE + SSR  = SST, or SSR = SST - SSE</t>
  </si>
  <si>
    <t>Calculation of SSE:</t>
  </si>
  <si>
    <t>Weight of the vehicle (In MT)</t>
  </si>
  <si>
    <t>Average Mileage (In kmpl)</t>
  </si>
  <si>
    <t>y-cap_i = b*xi + a</t>
  </si>
  <si>
    <t>(yi - y-cap)^2</t>
  </si>
  <si>
    <t>Cumputation of the observed value of F-Statistic</t>
  </si>
  <si>
    <t>Observed F = [SSR / k] / [SSE / (n - k - 1)]</t>
  </si>
  <si>
    <t>k is the number of Independent Variables, in Bivariate Analysis, k is always  = 1</t>
  </si>
  <si>
    <t>n is the number of set of observation, here n = 7</t>
  </si>
  <si>
    <t xml:space="preserve">The corresponding critical value of F-Statistic, at 5% level of siginifcance, k = 1 degrees of freedom in the numerator (df1) </t>
  </si>
  <si>
    <t>and [n - k - 1] = 5 degrees of freedom in the denominator (df2),</t>
  </si>
  <si>
    <t xml:space="preserve">F_Critical (5%,1,5) = </t>
  </si>
  <si>
    <t>Using FINV</t>
  </si>
  <si>
    <t>Step 4</t>
  </si>
  <si>
    <t>The observed value of F Statistic (78.0805) is more than the critical value of F statistic (6.6079) (Refer the diagram shown above)</t>
  </si>
  <si>
    <t>So we REJECT the NULL Hypothesis and ACCEPT the ALTERNATE Hypothesis</t>
  </si>
  <si>
    <t>So, we can conclude that the regression performed is Significant</t>
  </si>
  <si>
    <t>Significance F (p-value)</t>
  </si>
  <si>
    <t>&lt; 5%</t>
  </si>
  <si>
    <t>REJECT H0</t>
  </si>
  <si>
    <t>Step 7</t>
  </si>
  <si>
    <t>Constructing an ANOVA Table</t>
  </si>
  <si>
    <t>Sources of Error</t>
  </si>
  <si>
    <t>Sum of Squares</t>
  </si>
  <si>
    <t>Degrees of Feedom</t>
  </si>
  <si>
    <t>Mean Squares</t>
  </si>
  <si>
    <t>F Critical</t>
  </si>
  <si>
    <t>Regression</t>
  </si>
  <si>
    <t>Residual</t>
  </si>
  <si>
    <t>TOTAL</t>
  </si>
  <si>
    <t>T Srikar Sharma</t>
  </si>
  <si>
    <t>srikar.sharma24qf@sibm.edu.in</t>
  </si>
  <si>
    <t>Simran Upreti</t>
  </si>
  <si>
    <t>simran.upreti24qf@sibm.edu.in</t>
  </si>
  <si>
    <t>Sanskriti Bahadur</t>
  </si>
  <si>
    <t>Jithin Gopakumar GK</t>
  </si>
  <si>
    <t>jithin.gopakumar24ba@sibm.edu.in</t>
  </si>
  <si>
    <t>sanskriti.bahadur24ba@sibm.edu.in</t>
  </si>
  <si>
    <t>SST</t>
  </si>
  <si>
    <t>SSE</t>
  </si>
  <si>
    <t>SSR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</si>
  <si>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</si>
  <si>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</si>
  <si>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</si>
  <si>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</si>
  <si>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</si>
  <si>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</si>
  <si>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</si>
  <si>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</si>
  <si>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</si>
  <si>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</si>
  <si>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</si>
  <si>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</si>
  <si>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</si>
  <si>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</si>
  <si>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</si>
  <si>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</si>
  <si>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</si>
  <si>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</si>
  <si>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</si>
  <si>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</si>
  <si>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</si>
  <si>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</si>
  <si>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</si>
  <si>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&lt;5%</t>
  </si>
  <si>
    <t>y = 9.8369 + 0.2210x1 + 1.7017x2 + 2.3536x3</t>
  </si>
  <si>
    <t>Date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</si>
  <si>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</si>
  <si>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</si>
  <si>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</si>
  <si>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</si>
  <si>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</si>
  <si>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</si>
  <si>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</si>
  <si>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</si>
  <si>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</si>
  <si>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</si>
  <si>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</si>
  <si>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</si>
  <si>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</si>
  <si>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</si>
  <si>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</si>
  <si>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</si>
  <si>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</si>
  <si>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</si>
  <si>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</si>
  <si>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</si>
  <si>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</si>
  <si>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5-Period SMA</t>
  </si>
  <si>
    <t xml:space="preserve">NIFTY 50 </t>
  </si>
  <si>
    <t>4-period SMA</t>
  </si>
  <si>
    <t>2-Period CMA of 4 Period SMA</t>
  </si>
  <si>
    <t>W1</t>
  </si>
  <si>
    <t>W2</t>
  </si>
  <si>
    <t>W3</t>
  </si>
  <si>
    <t>W4</t>
  </si>
  <si>
    <t>W5</t>
  </si>
  <si>
    <t>5-Period WMA</t>
  </si>
  <si>
    <t>5-Period EMA</t>
  </si>
  <si>
    <t>α</t>
  </si>
  <si>
    <r>
      <t xml:space="preserve">yt = </t>
    </r>
    <r>
      <rPr>
        <b/>
        <sz val="18"/>
        <color theme="1"/>
        <rFont val="Calibri"/>
        <family val="2"/>
      </rPr>
      <t>α*S_t-1 + (1 - α)*y_t-1</t>
    </r>
  </si>
  <si>
    <t>Probability</t>
  </si>
  <si>
    <t>Introduction and General Theory of Probability</t>
  </si>
  <si>
    <t>Random Variables and Probability Distribution</t>
  </si>
  <si>
    <t>Introduction:</t>
  </si>
  <si>
    <t>Terminologies</t>
  </si>
  <si>
    <t>Random Experiment: An experimemt with limited set of outcomes, but the immediate next outcome cannot be predicted with surety</t>
  </si>
  <si>
    <t>e.g. rolling an unbiased dice</t>
  </si>
  <si>
    <t>Outcome or Cases: outcomes of a RE is called CASES, e.g. if we roll an unbiased die, cases are {1,2,3,4,5,6}. Cases are INTRINSIC to a RE</t>
  </si>
  <si>
    <t>Event: Events are defined by an User or observer, for which we can measure the CHANCE of occurrence, Events consist of one or more cases</t>
  </si>
  <si>
    <t>e.g. if we roll an unbiased die, we can define an event of getting "an odd number" at the top surface, note that 3 of the 6 possible cases</t>
  </si>
  <si>
    <t>will favour this defined event. Events are EXTRINSIC to the RE</t>
  </si>
  <si>
    <t>Equally Likely: When the outcomes or cases of a RE, have equal chance to occur, we call them 'equally likely cases'. Otherwise the experiment</t>
  </si>
  <si>
    <t>is called a biased experment. "BIAS" may be a natural bias or artifically created bias</t>
  </si>
  <si>
    <t>Mutually Exclusive: Ocuurance of one event (or case) automatically ensures the non occurance of the other</t>
  </si>
  <si>
    <t>Exhaustive: We have considered ALL posible casses that is assocoated with an Event or with a RE</t>
  </si>
  <si>
    <t>Classical Definition:</t>
  </si>
  <si>
    <t>Probability of an event (say, event A) is the ratio of number of favourable cases to that event to the TOTAL number of cases in that RE</t>
  </si>
  <si>
    <t>The cases must be Mutually exclusive, Equally likely and Exhaustive. This is a retsriction in CLASSICAL Definition of probability</t>
  </si>
  <si>
    <t>If A is an event describing "getting an odd number" if we roll an unbiased die</t>
  </si>
  <si>
    <t>P(A) = 3/6</t>
  </si>
  <si>
    <t>"Probablity is between Impossibility and Certainty"</t>
  </si>
  <si>
    <t>0 &lt;= P(A) &lt;= 1</t>
  </si>
  <si>
    <t>Impossible Event and Certain Event: P(A) = 0 and P(A) = 1</t>
  </si>
  <si>
    <t>e.g. P(B) = 2/5 or 0.4 or 40%</t>
  </si>
  <si>
    <t>General Theory of Probability</t>
  </si>
  <si>
    <t>Theory of Compound Probability</t>
  </si>
  <si>
    <t>Theory of Independence</t>
  </si>
  <si>
    <t>Theory of Conditional Probability and A'Priori Probabilities Baye's Theorem</t>
  </si>
  <si>
    <t>If there are two events A and B, then the probability of occurance of "Either A or B or BOTH" can be expressed as</t>
  </si>
  <si>
    <r>
      <t xml:space="preserve">P(AUB) = P(A) + P(B) - P(A </t>
    </r>
    <r>
      <rPr>
        <b/>
        <sz val="22"/>
        <color theme="1"/>
        <rFont val="Calibri"/>
        <family val="2"/>
      </rPr>
      <t>∩</t>
    </r>
    <r>
      <rPr>
        <b/>
        <sz val="22"/>
        <color theme="1"/>
        <rFont val="Calibri"/>
        <family val="2"/>
        <scheme val="minor"/>
      </rPr>
      <t xml:space="preserve"> B)</t>
    </r>
  </si>
  <si>
    <t>∩ symbol means "A and B BOTH"</t>
  </si>
  <si>
    <t>VENN Diagram</t>
  </si>
  <si>
    <t>Obviously two conclusions follow:</t>
  </si>
  <si>
    <t>a)</t>
  </si>
  <si>
    <t xml:space="preserve">If P(A ∩ B) = 0, or the events are 'Mutually Exclusive', then the formula simply becomes P(AUB) = P(A) + P(B) </t>
  </si>
  <si>
    <t>b)</t>
  </si>
  <si>
    <r>
      <t xml:space="preserve">Since P(A ∩ B) is a NON-NEGATIVE quantity, so P(AUB)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P(A) + P(B) </t>
    </r>
  </si>
  <si>
    <t>If we roll an unbiased die, find the Prob of getting 'Either a PRIME number OR an EVEN number"</t>
  </si>
  <si>
    <t>Let A and B, be the events describing "getting a prime number and getting an even number", respectively if we roll a die</t>
  </si>
  <si>
    <t>OR</t>
  </si>
  <si>
    <t>AND</t>
  </si>
  <si>
    <t>A = {2,3,5}; B={2,4,6}; P(A ∩ B) = {2}</t>
  </si>
  <si>
    <r>
      <t xml:space="preserve">P(AUB) = P(A) + P(B) - P(A </t>
    </r>
    <r>
      <rPr>
        <b/>
        <sz val="22"/>
        <color theme="1"/>
        <rFont val="Calibri"/>
        <family val="2"/>
      </rPr>
      <t>∩</t>
    </r>
    <r>
      <rPr>
        <b/>
        <sz val="22"/>
        <color theme="1"/>
        <rFont val="Calibri"/>
        <family val="2"/>
        <scheme val="minor"/>
      </rPr>
      <t xml:space="preserve"> B) = 3/6 + 3/6 - 1/6  = 5/6</t>
    </r>
  </si>
  <si>
    <t>If we roll an unbiased die, find the Prob of getting 'Either a PRIME number OR an ODD number"</t>
  </si>
  <si>
    <t>Let A and B, be the events describing "getting a prime number and getting an odd number", respectively if we roll a die</t>
  </si>
  <si>
    <r>
      <t xml:space="preserve">P(AUB) = P(A) + P(B) - P(A </t>
    </r>
    <r>
      <rPr>
        <b/>
        <sz val="22"/>
        <color theme="1"/>
        <rFont val="Calibri"/>
        <family val="2"/>
      </rPr>
      <t>∩</t>
    </r>
    <r>
      <rPr>
        <b/>
        <sz val="22"/>
        <color theme="1"/>
        <rFont val="Calibri"/>
        <family val="2"/>
        <scheme val="minor"/>
      </rPr>
      <t xml:space="preserve"> B) = 3/6 + 3/6 - 2/6  = 4/6</t>
    </r>
  </si>
  <si>
    <t>If two events A and B are INDEPENDENT, then P(A ∩ B) = P(A)*P(B) and VICE VERSA</t>
  </si>
  <si>
    <t>What is an INDEPENDENT Event?</t>
  </si>
  <si>
    <t>Occurance of one event does not have any impact on occurance (Or non occurance) of the other event</t>
  </si>
  <si>
    <t>If two events are Independent, then obviously their COMPLEMENTARY Events are also INDEPENDENT</t>
  </si>
  <si>
    <t>A and A' are Complementary events such that P(A') = 1 - P(A)</t>
  </si>
  <si>
    <t>Illustrative case:</t>
  </si>
  <si>
    <t>Event A: I am at the Grocery Store</t>
  </si>
  <si>
    <t>Event B: My wife is at the Grocery Store</t>
  </si>
  <si>
    <t>Independent</t>
  </si>
  <si>
    <t>Dependent</t>
  </si>
  <si>
    <t>Mut Excl</t>
  </si>
  <si>
    <t>NOT Mut Excl</t>
  </si>
  <si>
    <t>Theory of Conditional Probability and Baye's Theorem</t>
  </si>
  <si>
    <t>Let us assume that there are two events A and B, they are NOT Independent</t>
  </si>
  <si>
    <t>Now, we further assume that event A has taken place or already occurred. Under this new information, now</t>
  </si>
  <si>
    <t>what is the probability of B to occur?</t>
  </si>
  <si>
    <t>This situation is handled by the Theory of Conditional Probability</t>
  </si>
  <si>
    <r>
      <t xml:space="preserve">P(B|A) = P(A </t>
    </r>
    <r>
      <rPr>
        <b/>
        <sz val="28"/>
        <color theme="1"/>
        <rFont val="Calibri"/>
        <family val="2"/>
      </rPr>
      <t>∩</t>
    </r>
    <r>
      <rPr>
        <b/>
        <sz val="28"/>
        <color theme="1"/>
        <rFont val="Calibri"/>
        <family val="2"/>
        <scheme val="minor"/>
      </rPr>
      <t xml:space="preserve"> B) / P(A)</t>
    </r>
  </si>
  <si>
    <t>A becomes the universe because A has already ocurred, so we can say A is the CERTAIN Event</t>
  </si>
  <si>
    <t>Similarly, we can write, P(A|B) = P(A ∩ B) / P(B), where B is the certain event</t>
  </si>
  <si>
    <t>So we can conclude that  P(A ∩ B)  = P(B|A) * P(A) = P(A|B) *P(B)</t>
  </si>
  <si>
    <t xml:space="preserve">Two students carry a probability of passing an exam as 9/10 and 8/9. </t>
  </si>
  <si>
    <t>What is the chance that BOTH will clear the exam? Assume that they take the exam INDEPENDENTLY.</t>
  </si>
  <si>
    <t>Let A and B, be the events describing "the first student clears the exam and the second student clears the exam"</t>
  </si>
  <si>
    <t>respectively</t>
  </si>
  <si>
    <t>P(A ∩ B) = P(A)*P(B) = (9/10) * (8/9) = 72/ 90 = 4/5</t>
  </si>
  <si>
    <t>What is the prob that exactly one of them will pass the exam?</t>
  </si>
  <si>
    <t>P(A) = 9/10, P(A') = 1/10,  P(B) = 8/9, P(B') = 1/9</t>
  </si>
  <si>
    <t xml:space="preserve">P(A ∩ B') + P(A' ∩ B) = P(A)*P(B')  + P(A')*P(B) = (9/10) * (1/9) +  (1/10) * (8/9)= 17/ 90 </t>
  </si>
  <si>
    <t>c)</t>
  </si>
  <si>
    <t>What is the prob that at most one of them will pass the exam?</t>
  </si>
  <si>
    <t>Prob of that at most one of them will pass = 1 - [Prob of both of them will pass] = 1 - 72/90 = 18/90 = 1/5</t>
  </si>
  <si>
    <t>d)</t>
  </si>
  <si>
    <t>What is the prob that at least one of them will pass the exam?</t>
  </si>
  <si>
    <t>Prob of that at least one of them will pass = 1 - [Prob of NONE of them will pass] = 1 -  P(A' ∩ B') = 1 - [(1/10)*(1/9)] = 1 - (1/90) = 89/90</t>
  </si>
  <si>
    <t>A and B are INDEPENDENT events and involve shooting a particular target by two sharp shooters</t>
  </si>
  <si>
    <t>Given that P(A) = 3/4 and P(B) = 5/7</t>
  </si>
  <si>
    <t xml:space="preserve">i) </t>
  </si>
  <si>
    <t>Find the probability of none of them shooting the target</t>
  </si>
  <si>
    <t>2/28</t>
  </si>
  <si>
    <t>Find the probability of exactly one of them shooting the target</t>
  </si>
  <si>
    <t>11/28</t>
  </si>
  <si>
    <t>Find the probability of both of them shooting the target</t>
  </si>
  <si>
    <t>15/28</t>
  </si>
  <si>
    <t>iv)</t>
  </si>
  <si>
    <t>Find the probability of at least one of them shooting the target</t>
  </si>
  <si>
    <t>26/28</t>
  </si>
  <si>
    <t>v)</t>
  </si>
  <si>
    <t>Find the probability of at most one of them shooting the target</t>
  </si>
  <si>
    <t>13/28</t>
  </si>
  <si>
    <t>Two flights A and B, are supposed to land at KIA 10 minutes apart, A preceeding B.</t>
  </si>
  <si>
    <t>Historical on-time performance data shows the following probabilities:</t>
  </si>
  <si>
    <t>Probabilities</t>
  </si>
  <si>
    <t>Arriving on time</t>
  </si>
  <si>
    <t>Arriving 10 Minutes Late</t>
  </si>
  <si>
    <t>Arriving 10 Minutes Earlier than ETA</t>
  </si>
  <si>
    <t>Find the probability that both of them will try to land at the same time</t>
  </si>
  <si>
    <t>Find the probability of exactly one of them is late</t>
  </si>
  <si>
    <t>Find the probability of none of them arrive on time</t>
  </si>
  <si>
    <t>Find the probability of at least one of them is early</t>
  </si>
  <si>
    <t>Find the probability of at most one of them are late</t>
  </si>
  <si>
    <t>Let A1, A2, and A3 be the events that describes Flight A arrives on time, arrives 10  min late and arrives 10 min early, respectively</t>
  </si>
  <si>
    <t>Let B1, B2, and B3 be the events that Flight B arrives on time, arrives 10  min late and arrives 10 min early, respectively</t>
  </si>
  <si>
    <t>P(A1)</t>
  </si>
  <si>
    <t>P(A1')</t>
  </si>
  <si>
    <t>P(A2)</t>
  </si>
  <si>
    <t>P(A2')</t>
  </si>
  <si>
    <t>P(A3)</t>
  </si>
  <si>
    <t>P(A3')</t>
  </si>
  <si>
    <t>P(B1)</t>
  </si>
  <si>
    <t>P(B1')</t>
  </si>
  <si>
    <t>P(B2)</t>
  </si>
  <si>
    <t>P(B2')</t>
  </si>
  <si>
    <t>P(B3)</t>
  </si>
  <si>
    <t>P(B3')</t>
  </si>
  <si>
    <r>
      <rPr>
        <b/>
        <sz val="20"/>
        <color theme="1"/>
        <rFont val="Calibri"/>
        <family val="2"/>
        <scheme val="minor"/>
      </rPr>
      <t>P(A1∩B3)</t>
    </r>
    <r>
      <rPr>
        <b/>
        <sz val="19.8"/>
        <color theme="1"/>
        <rFont val="Calibri"/>
        <family val="2"/>
      </rPr>
      <t xml:space="preserve"> + P(A2∩B1) = P(A1)*P(B3) + P(A2)*P(B1) = 96%*3% + 2%*92% = 0.0472</t>
    </r>
  </si>
  <si>
    <r>
      <t>P(A2∩B2')</t>
    </r>
    <r>
      <rPr>
        <b/>
        <sz val="19.8"/>
        <color theme="1"/>
        <rFont val="Calibri"/>
        <family val="2"/>
      </rPr>
      <t xml:space="preserve"> + P(A2'∩B2) = P(A2)*P(B2') + P(A2')*P(B2) = 2%*95% + 98%*5% = 0.068</t>
    </r>
  </si>
  <si>
    <r>
      <t>1 - At least one of them Arrive on time = 1 - [P(A1U</t>
    </r>
    <r>
      <rPr>
        <b/>
        <sz val="18"/>
        <color theme="1"/>
        <rFont val="Calibri"/>
        <family val="2"/>
      </rPr>
      <t>B1)] =  1 - [P(A1) + P(B1) - P(A1)*P(B1)] = 1 - (96% + 92% - 96%*92%) = 0.32%</t>
    </r>
  </si>
  <si>
    <t>Another way to solve:</t>
  </si>
  <si>
    <t>P(A2∩B2) + P(A2∩B3) + P(A3∩B2) + P(A3∩B3) = P(A2)*P(B2) + P(A2)*P(B3) + P(A3)*P(B2) + P(A3)*P(B3) = 0.0032</t>
  </si>
  <si>
    <r>
      <t>1 - None of them is early  = 1 - [P(A3'</t>
    </r>
    <r>
      <rPr>
        <b/>
        <sz val="18"/>
        <color theme="1"/>
        <rFont val="Calibri"/>
        <family val="2"/>
      </rPr>
      <t>∩</t>
    </r>
    <r>
      <rPr>
        <b/>
        <sz val="19.8"/>
        <color theme="1"/>
        <rFont val="Calibri"/>
        <family val="2"/>
      </rPr>
      <t>B3')] = 1 - [P(A3')*P(B3')] = 1 - (98%*97%) = 4.94%</t>
    </r>
  </si>
  <si>
    <r>
      <t>1 - Both of them are late = 1 - [P(A2</t>
    </r>
    <r>
      <rPr>
        <b/>
        <sz val="18"/>
        <color theme="1"/>
        <rFont val="Calibri"/>
        <family val="2"/>
      </rPr>
      <t>∩</t>
    </r>
    <r>
      <rPr>
        <b/>
        <sz val="19.8"/>
        <color theme="1"/>
        <rFont val="Calibri"/>
        <family val="2"/>
      </rPr>
      <t>B2)] = 1 - [P(A2)*P(B2)] = 1 - (2%*5%) = 99.9%</t>
    </r>
  </si>
  <si>
    <t>Ex 5</t>
  </si>
  <si>
    <t>On Theory of Conditional Probability</t>
  </si>
  <si>
    <t>There are few White, Black and Red scarves in a basket. Some of them are striped and rest of them are dotted</t>
  </si>
  <si>
    <t>W</t>
  </si>
  <si>
    <t>R</t>
  </si>
  <si>
    <t>Row total</t>
  </si>
  <si>
    <t>S</t>
  </si>
  <si>
    <t>Col Total</t>
  </si>
  <si>
    <t>You pick up one scarf at random from the basket</t>
  </si>
  <si>
    <r>
      <t>P(W|D) = P(W</t>
    </r>
    <r>
      <rPr>
        <b/>
        <sz val="18"/>
        <color theme="1"/>
        <rFont val="Calibri"/>
        <family val="2"/>
      </rPr>
      <t>∩D) / P(D) = (1/21) / (9/21) = 1/9</t>
    </r>
  </si>
  <si>
    <t>P(D|W) = 1/6</t>
  </si>
  <si>
    <t>P(B|S) = 4/12</t>
  </si>
  <si>
    <t>P(S|B) = 4/6</t>
  </si>
  <si>
    <t>P(R|S) = 3/12</t>
  </si>
  <si>
    <t>vi)</t>
  </si>
  <si>
    <t>P(R|D) = 6/9</t>
  </si>
  <si>
    <t>Theory of Independence re-visited:</t>
  </si>
  <si>
    <t>We had earlier concluded that  P(A ∩ B)  = P(B|A) * P(A) = P(A|B) *P(B)</t>
  </si>
  <si>
    <t>Now if A and B are Independent events, P(B|A) is simply P(B) because occurrence of A will not affect the occurance of B, so P(B) remains P(B), without</t>
  </si>
  <si>
    <t>affected by the fact that A has already occurred</t>
  </si>
  <si>
    <t xml:space="preserve">So we can write, if A and B are Independent Events, then P(A ∩ B)  = P(B) * P(A) </t>
  </si>
  <si>
    <t>Ex 6</t>
  </si>
  <si>
    <t>Ayesha went to take part in a competition, with probability of winning as 60%. Her friend Brinda, who speaks</t>
  </si>
  <si>
    <t xml:space="preserve">truth only 30% of the time, announces some time later, that Ayesha won the competition. </t>
  </si>
  <si>
    <t>What is the actual chance that Ayesha indeed won the competetion?</t>
  </si>
  <si>
    <t>Let A be the event that Ayesha won the competition</t>
  </si>
  <si>
    <t>Let B be the event that Brinda speaks 'Truth'</t>
  </si>
  <si>
    <t>P(A) = 0.6, P(A') = 0.4;   P(B) = 0.3 , P(B')  = 0.7</t>
  </si>
  <si>
    <t>Here it is safe to assume that A and B are independent events</t>
  </si>
  <si>
    <r>
      <t>P(A</t>
    </r>
    <r>
      <rPr>
        <b/>
        <sz val="22"/>
        <color theme="1"/>
        <rFont val="Calibri"/>
        <family val="2"/>
      </rPr>
      <t>∩B) + P(A'∩B') = 0.6*0.3 + 0.4*0.7 = 0.46</t>
    </r>
  </si>
  <si>
    <t>Ex 7</t>
  </si>
  <si>
    <t>From a well-shuffled pack of cards, 4 cards are chosen, one by one, without replacement. What is the chance</t>
  </si>
  <si>
    <t>that the chosen cards are of different suits and of different denominations?</t>
  </si>
  <si>
    <t>[HINT: Four suits are Hearts, Diamonds, Clubs and Spades, each suit having 13 cards in it, of different denomiantions</t>
  </si>
  <si>
    <t>Denominations are Ace, 2, 3, 4, 5, 6, 7, 8, 9, 10, Jack, Queen and King]</t>
  </si>
  <si>
    <t>Answer is (52/52)*(36/51)*(22/50)*(10/49)</t>
  </si>
  <si>
    <t>Ex 8</t>
  </si>
  <si>
    <t>There are n people in the room. What is the probability that at least one pair shares the same birthday?</t>
  </si>
  <si>
    <t>Let A be the event that none of them share the same birthday, or all of them have distinct birthdays</t>
  </si>
  <si>
    <t xml:space="preserve">P(A) = (365/365)*(364/365)*(363/365)….......to n terms = [(1/365)^n] * [365*364*363…..] =  </t>
  </si>
  <si>
    <t>[(1/365)^n]*(365_P_n) = [(1/365)^n]*[(365_C_n)*n!]…......assuming n&lt;=365</t>
  </si>
  <si>
    <t>Answer to this question is [1 - P(A)]</t>
  </si>
  <si>
    <t>Ex 9</t>
  </si>
  <si>
    <t>There are 4 letters written to 4 different people and there are 4 correspondingly marked envelopes.</t>
  </si>
  <si>
    <t>What is the probabilty that all the letters will be inserted in the wrong envelope?</t>
  </si>
  <si>
    <t>Homework: Please solve the same question with 'n' letters and 'n' envelopes, the answer should be in terms of 'n'</t>
  </si>
  <si>
    <t>"De-arrangements and Matches"</t>
  </si>
  <si>
    <t>The denominator in this Probability question is 4! = 24</t>
  </si>
  <si>
    <t>Case 1: All 4 letters going into the correct envelope = 1 Way</t>
  </si>
  <si>
    <t>Case 2: Three letters going into the correct envelope, the remaining going into the wrong one, this case is impossible</t>
  </si>
  <si>
    <t>Case 3: TWO letters going into the correct envelope, and the other TWO going into wrong envelope = 4C2 * 1 = 6*1 = 6</t>
  </si>
  <si>
    <t>Case 4: Exactly ONE letter going into the correct envelope, remaining THREE going into the wrong envelopes = 4C1*2*1 = 8</t>
  </si>
  <si>
    <t>Case 5: All 4 letters going into the wrong envelope = 24 - (1 + 6 + 8) = 9 ways</t>
  </si>
  <si>
    <t>Answer is 9/24</t>
  </si>
  <si>
    <t>Ex 10</t>
  </si>
  <si>
    <t>There are 3 married straight couples, 2 single men and 1 single woman in a group.</t>
  </si>
  <si>
    <t xml:space="preserve">What is the Probability that in a Mixed doubles tennis match, no pair of husband and wife is in the court (neither in the same team nor as an </t>
  </si>
  <si>
    <t>opponent)?</t>
  </si>
  <si>
    <t>We Choose 2 single men and any 2 women from 4 women, w/o distinguising between married and single = 2C2 * 4C2 = 6</t>
  </si>
  <si>
    <t>We choose 2 married men from 3 married men and we choose 2 women, excluding those two wives (of chosen married men)</t>
  </si>
  <si>
    <t>3C2*1C1*1C1 =</t>
  </si>
  <si>
    <t>Case 3</t>
  </si>
  <si>
    <t>We choose one married man and one single man, any 2 women except the wife of the chosen married man</t>
  </si>
  <si>
    <t>3C1*2C1*(2C2+1C1*2C1) =</t>
  </si>
  <si>
    <t xml:space="preserve">Total Number of Cases = 4C2 * 5C2 = </t>
  </si>
  <si>
    <t>Final answer = 27/60</t>
  </si>
  <si>
    <t>Baye's Theorem: A'Priori Statistics</t>
  </si>
  <si>
    <t>Please consider three mutually exclusive events A, B, C</t>
  </si>
  <si>
    <t>Consider another event D, which exists only with A or with B or with C, such that</t>
  </si>
  <si>
    <r>
      <t xml:space="preserve">D = (A </t>
    </r>
    <r>
      <rPr>
        <b/>
        <sz val="18"/>
        <color theme="1"/>
        <rFont val="Calibri"/>
        <family val="2"/>
      </rPr>
      <t>∩</t>
    </r>
    <r>
      <rPr>
        <b/>
        <sz val="18"/>
        <color theme="1"/>
        <rFont val="Calibri"/>
        <family val="2"/>
        <scheme val="minor"/>
      </rPr>
      <t xml:space="preserve"> D) + (B </t>
    </r>
    <r>
      <rPr>
        <b/>
        <sz val="18"/>
        <color theme="1"/>
        <rFont val="Calibri"/>
        <family val="2"/>
      </rPr>
      <t>∩</t>
    </r>
    <r>
      <rPr>
        <b/>
        <sz val="18"/>
        <color theme="1"/>
        <rFont val="Calibri"/>
        <family val="2"/>
        <scheme val="minor"/>
      </rPr>
      <t xml:space="preserve"> D) + (C </t>
    </r>
    <r>
      <rPr>
        <b/>
        <sz val="18"/>
        <color theme="1"/>
        <rFont val="Calibri"/>
        <family val="2"/>
      </rPr>
      <t>∩</t>
    </r>
    <r>
      <rPr>
        <b/>
        <sz val="18"/>
        <color theme="1"/>
        <rFont val="Calibri"/>
        <family val="2"/>
        <scheme val="minor"/>
      </rPr>
      <t xml:space="preserve"> D), event D does not exist otherwise, that means set D has no other element outside A, B or C</t>
    </r>
  </si>
  <si>
    <t>What is A'Priori statistics?</t>
  </si>
  <si>
    <t xml:space="preserve">We now say that the event D has occurred, in the light of this new information, we try to find out what is the chance that events </t>
  </si>
  <si>
    <t>A, or B or C will occur.</t>
  </si>
  <si>
    <r>
      <t xml:space="preserve">P(A|D) = P(A </t>
    </r>
    <r>
      <rPr>
        <b/>
        <sz val="18"/>
        <color theme="1"/>
        <rFont val="Calibri"/>
        <family val="2"/>
      </rPr>
      <t>∩</t>
    </r>
    <r>
      <rPr>
        <b/>
        <sz val="18"/>
        <color theme="1"/>
        <rFont val="Calibri"/>
        <family val="2"/>
        <scheme val="minor"/>
      </rPr>
      <t xml:space="preserve"> D) / P(D) = P(A ∩ D) / [P(A ∩ D) + P(B ∩ D) + P(C ∩ D)]</t>
    </r>
  </si>
  <si>
    <t>P(A|D) = P(D|A)*P(A) / [P(D|A)*P(A) + P(D|B)*P(B) + P(D|C)*P(C)]</t>
  </si>
  <si>
    <t>This is BAYE'S Theorem (for three events)</t>
  </si>
  <si>
    <t>Now we can generalise the Baye's Theorem for k events A1, A2, A3…........Ak</t>
  </si>
  <si>
    <r>
      <t>P(A|D) = P(D|A)*P(A) /</t>
    </r>
    <r>
      <rPr>
        <b/>
        <sz val="18"/>
        <color theme="1"/>
        <rFont val="Calibri"/>
        <family val="2"/>
      </rPr>
      <t>Σ</t>
    </r>
    <r>
      <rPr>
        <b/>
        <sz val="18"/>
        <color theme="1"/>
        <rFont val="Calibri"/>
        <family val="2"/>
        <scheme val="minor"/>
      </rPr>
      <t xml:space="preserve"> [P(D|Ai)*P(Ai)], i varies from 1 to k</t>
    </r>
  </si>
  <si>
    <t>On Baye's Theorem</t>
  </si>
  <si>
    <t xml:space="preserve">There are three parallel machines in a factory producing 3000, 5000 and 7000 units per day. They produce the same machine part. The </t>
  </si>
  <si>
    <t>Defect Rates are, 1%. 0.8% and 1.2% respectively. All the units produced is mixed and one of them is picked up at random</t>
  </si>
  <si>
    <t>and found to be defective</t>
  </si>
  <si>
    <t>What is the chance that this unit is produced by Machine 1?</t>
  </si>
  <si>
    <t>What is the chance that this unit is produced by Machine 2?</t>
  </si>
  <si>
    <t>What is the chance that this unit is produced by Machine 3?</t>
  </si>
  <si>
    <t>Let A, B and C be the events describing that a randomly chosen unit is produced by machine 1, 2 and 3 respectively</t>
  </si>
  <si>
    <t>Let D be the event that the chosen unit is DEFECTIVE</t>
  </si>
  <si>
    <t>P(A) = 3/15, P(B) = 5/15, P(C ) = 7/15;   P(D|A) = 0.01, P(D|B) = 0.008 ; P(D|C) = 0.012</t>
  </si>
  <si>
    <t>P(A|D) = P(D|A)*P(A) / [P(D|A)*P(A) + P(D|B)*P(B) + P(D|C)*P(C)] =</t>
  </si>
  <si>
    <t xml:space="preserve"> (0.01*(3/15)) / [(0.01*(3/15))+(0.008*(5/15))+(0.012*(7/15))]  = 0.1948</t>
  </si>
  <si>
    <t>P(B|D) = P(D|B)*P(B) / [P(D|A)*P(A) + P(D|B)*P(B) + P(D|C)*P(C)] = 0.2597</t>
  </si>
  <si>
    <t>P(C|D) = P(D|C)*P(C) / [P(D|A)*P(A) + P(D|B)*P(B) + P(D|C)*P(C)] = 0.5455</t>
  </si>
  <si>
    <t>Please note that these three events P(A|D), P(B|D) and P(C|D) are EXHAUSTIVE and Mutually Exclusive</t>
  </si>
  <si>
    <t>so we should get 1, if we add these three answers</t>
  </si>
  <si>
    <t>Using Common Sensical Approach, without the BAYE's theorem</t>
  </si>
  <si>
    <t>Machines</t>
  </si>
  <si>
    <t>Pruduction (In Units)</t>
  </si>
  <si>
    <t>Number of Defects</t>
  </si>
  <si>
    <t xml:space="preserve">P(A|D) </t>
  </si>
  <si>
    <t xml:space="preserve">P(B|D) </t>
  </si>
  <si>
    <t>P(C|D)</t>
  </si>
  <si>
    <t xml:space="preserve">There is a bio-metric security system in a research lab, which allows 0.03% of all the people who are </t>
  </si>
  <si>
    <t>unauthorised to enter. It also blocks 0.01% of people who are authorised to enter the facility.</t>
  </si>
  <si>
    <t>If 99% of all people who approach the facility are authorised to enter, then find the following:</t>
  </si>
  <si>
    <t>If someone is blocked, what is the chance that he or she is authorised to enter the facility?</t>
  </si>
  <si>
    <t>If someone is allowed to enter what is the chance that he or she is unauthorised to enter the facility?</t>
  </si>
  <si>
    <t>Let A be the event that someone approaches the facility who is AUTHORISED to enter</t>
  </si>
  <si>
    <t>P(A) = 0.99, P(A') = 0.01</t>
  </si>
  <si>
    <t>Let B be the event that the security system Blocks the entry</t>
  </si>
  <si>
    <t>P(B'|A') = 0.0003, P(B|A) = 0.0001, P(B'|A) = 0.9999, P(B|A') = 0.9997</t>
  </si>
  <si>
    <t>P(A|B) = P(B|A)*P(A) / [P(B|A)*P(A) + P(B|A')*P(A')] = 0.0098</t>
  </si>
  <si>
    <t>P(A'|B') = P(B'|A')*P(A') / [P(B'|A')*P(A') + P(B'|A)*P(A)] = 3 * 10^(-6)</t>
  </si>
  <si>
    <t>Let us consider 1 million people who approaches this facility</t>
  </si>
  <si>
    <t>Blocked</t>
  </si>
  <si>
    <t>Allowed</t>
  </si>
  <si>
    <t>Authorised</t>
  </si>
  <si>
    <t>Unauthorised</t>
  </si>
  <si>
    <t>Answer is</t>
  </si>
  <si>
    <t>There are 55, 60 , 65 and 58 students in sections A, B, C and D of the MBA  programme. The percentage of students with prior full time</t>
  </si>
  <si>
    <t>If a randomly chosen student has some prior work experience, what is the chance that he or she is from Sec D?</t>
  </si>
  <si>
    <t>If a randomly chosen student has no prior work experience, what is the chance that he or she is from Sec A?</t>
  </si>
  <si>
    <t>Homework: solve the same problem (i) and (ii) for all the Exhaustive and Mutuallly exclusive cases and prove that the sum of prob is 1</t>
  </si>
  <si>
    <t>Common Terminologies:</t>
  </si>
  <si>
    <t>Variable: An Entity, which can assume different values; we can put some restriction on the values that it can assume, like a given range</t>
  </si>
  <si>
    <t>Variable may be Qualitative variable or Quantitative variable</t>
  </si>
  <si>
    <t xml:space="preserve">In Statistics, if we encounter Qualitative variables, we try to convert it to Quantitative variables </t>
  </si>
  <si>
    <t>by using suitable Scales</t>
  </si>
  <si>
    <t xml:space="preserve">Quantitaive variables are of two types: Real and Imaginary variable, where i = sqrt(-1) </t>
  </si>
  <si>
    <t>In Biz Stats course we focus on only REAL Variables</t>
  </si>
  <si>
    <t>Real Variables can be classified as Discrete variable and Continuous variable</t>
  </si>
  <si>
    <t xml:space="preserve">Discrete variables are variables which can assume only few (Countable or uncountably large) </t>
  </si>
  <si>
    <t>discrete values in a given range</t>
  </si>
  <si>
    <t>e.g. the set of natural numbers 1,2,3,….....</t>
  </si>
  <si>
    <t>Continuous Variables are variable which can assume ALL possible values in a given range</t>
  </si>
  <si>
    <t>For example, if we consider the business variables like no of employees, no ofunits produced etc.which are to be counted by natural numbers</t>
  </si>
  <si>
    <t>are classified as Discrete Vaariable</t>
  </si>
  <si>
    <t>(Grasshopper variable, it hops and sits on few discrete values on the REAL NUMBER LINE)</t>
  </si>
  <si>
    <t>On the other hand, if we consider the biz variables like P&amp;L, Revenue, Cost (anything to with a sum of money), or if we consider</t>
  </si>
  <si>
    <t>variable like length of service, age of overdue bills recvbles (anything to be measured by amount of time), are examples</t>
  </si>
  <si>
    <t>of CONTINUOUS Variable</t>
  </si>
  <si>
    <t>(Ant variables, crawling and toucing all the points on the REAL NUMBER LINE, may be bounded by a given range)</t>
  </si>
  <si>
    <t>Random Variable</t>
  </si>
  <si>
    <t>Random variables are variables, which can assume different values (Either Discrete or Continuous),</t>
  </si>
  <si>
    <t>but with each of these values that it may assume, a corresponding probability to occur is attached</t>
  </si>
  <si>
    <t>e.g., if we roll an unbiased dice, and define X as the random variable decribing the number obtained</t>
  </si>
  <si>
    <t>in the top surface, then X can assume 6 discrete values (1,2,3,4,5,6), but each of these values are associated with</t>
  </si>
  <si>
    <t>corresponding probabilities (1/6) in each case.</t>
  </si>
  <si>
    <t>There are two types of Random variables: DRV and CRV</t>
  </si>
  <si>
    <t>Probability  Distribution</t>
  </si>
  <si>
    <t>This is a description of ALL possible values that a Random variable may assume (In a given range),</t>
  </si>
  <si>
    <t>along with the corresponding probabilities</t>
  </si>
  <si>
    <t>e.g.</t>
  </si>
  <si>
    <t>Let X be the RV describing the number on the top suraface if we roll an unbiased dice</t>
  </si>
  <si>
    <t>X</t>
  </si>
  <si>
    <t>P(X)</t>
  </si>
  <si>
    <t>Let X be the RV describing a BINARY variable (0,1) which we obtain when we toss an unbiased coin, assigning T = 0 and H = 1</t>
  </si>
  <si>
    <t>This is also a DPD</t>
  </si>
  <si>
    <t>This table is an example of a Prob distn, in fact this is a DPD</t>
  </si>
  <si>
    <t>So we understand that if the number of values that an RV may assume is finite, then a Table is</t>
  </si>
  <si>
    <t>sufficient to describe the Prob distribution</t>
  </si>
  <si>
    <t>So generally for a DPD, we use a table to describe it</t>
  </si>
  <si>
    <t xml:space="preserve">But, if the number of values that an RV may assume is infinite, then describing it in a tabular fashion </t>
  </si>
  <si>
    <t>is not possible, so we use a Graphical description</t>
  </si>
  <si>
    <t>So generally for a CPD, we use a Graph to describe it</t>
  </si>
  <si>
    <t>In this Graphical description, horizontal axis describes the possible value of the RV 'X', and the</t>
  </si>
  <si>
    <t>vertical axis describes the corresponding probabilities</t>
  </si>
  <si>
    <t>These Graphs are examples of a CPD</t>
  </si>
  <si>
    <t>Based on the nature of the RV involved, Prob distn may be classified into TWO categories: DPD and CPD</t>
  </si>
  <si>
    <t>Imp Property of a PD: SUM of ALL Probs should always be ONE, because the cases are Exhaustive and Mutually Exclusive</t>
  </si>
  <si>
    <t>In case of a GRAPHICAL Representation of a PD, the TOTAL AREA UNDER THE CURVE (Probability Function) should be ONE, because it represennts</t>
  </si>
  <si>
    <t>the sum of all probabilties</t>
  </si>
  <si>
    <t>Another way to classify Prob Distn:</t>
  </si>
  <si>
    <t>Genreic Vs Theoretical Prob Distn:</t>
  </si>
  <si>
    <t>Consider this DPD, where X is the the number obtained when we roll an unbiased dice</t>
  </si>
  <si>
    <t>To Calculate the corresponding probability in this case, we have used</t>
  </si>
  <si>
    <t>Common Sense</t>
  </si>
  <si>
    <t>Logic</t>
  </si>
  <si>
    <t>Experiment: Field or Thought experiments</t>
  </si>
  <si>
    <t>Basic Counting Techniques: Addition, Subtraction, Multiplication, Division , P&amp;C</t>
  </si>
  <si>
    <t>This type of PD is known as Generic PD, where we have to calculate the Probability for a given value</t>
  </si>
  <si>
    <t xml:space="preserve"> of the RV "X", using the above</t>
  </si>
  <si>
    <t>On the contrary, in case of Theoretical PD, we have given Mathematical Functions, to calculate the corresponding</t>
  </si>
  <si>
    <t>probabilities, for a given value of the RV 'X'. These functions are called Probability Functions</t>
  </si>
  <si>
    <t>These functions are either Probability Mass Function (For discrete random variables) or</t>
  </si>
  <si>
    <t>Probability Density Functions (for Continuous random variables)</t>
  </si>
  <si>
    <t>In abbreviated form PMF and PDF</t>
  </si>
  <si>
    <t>PMF is the probability function associated with DPD and similarly PDF is assocaited with CPD</t>
  </si>
  <si>
    <t>Theoretical PD</t>
  </si>
  <si>
    <t>DPD</t>
  </si>
  <si>
    <t>CPD</t>
  </si>
  <si>
    <t>Binomial</t>
  </si>
  <si>
    <t>Uniform</t>
  </si>
  <si>
    <t>Hypergeometric</t>
  </si>
  <si>
    <t>NORMAL</t>
  </si>
  <si>
    <t>Poisson</t>
  </si>
  <si>
    <t xml:space="preserve">Exponential </t>
  </si>
  <si>
    <t>BETA</t>
  </si>
  <si>
    <t>Gamma</t>
  </si>
  <si>
    <t>Whether a raw data collected from a field (Business, scientific or social experiments etc), actually follows</t>
  </si>
  <si>
    <t>a known Theoretical PD or NOT, we check with a hypothesis testing procedure called "GOODNESS OF FIT" test</t>
  </si>
  <si>
    <t>Essentially GOODNESS OF FIT is a "Chi-Square TEST"</t>
  </si>
  <si>
    <t>The answer is 0.18/0.46 = 9/23</t>
  </si>
  <si>
    <t>work experience is 11%, 25%, 16.9% and 10.4% respectively in these sections.</t>
  </si>
  <si>
    <t>Expectation or Expected Value, Variance, Std Dev computation</t>
  </si>
  <si>
    <t>for a Random variable</t>
  </si>
  <si>
    <t>Expectation or Mathematical expectation of a Random Variable is nothing but the Weighted Average value</t>
  </si>
  <si>
    <t>And we use weighted variance calculation method to arrive at the Variance and SD of a Random Variable</t>
  </si>
  <si>
    <r>
      <t xml:space="preserve">Exp(X) = </t>
    </r>
    <r>
      <rPr>
        <b/>
        <sz val="20"/>
        <color theme="1"/>
        <rFont val="Calibri"/>
        <family val="2"/>
      </rPr>
      <t>µ = Sum[P(X)*X] / Sum[P(X)] = Sum[P(X)*X], note that sum [P(X))] is always 1, so we omit the denominator</t>
    </r>
  </si>
  <si>
    <r>
      <t xml:space="preserve">Var(X) = σ^2 = Sum[P(X)*(X - </t>
    </r>
    <r>
      <rPr>
        <b/>
        <sz val="20"/>
        <color theme="1"/>
        <rFont val="Calibri"/>
        <family val="2"/>
      </rPr>
      <t>µ)^2] / SUM[P(X)] = Sum[P(X)*(X - µ)^2] , note that sum [P(X))] is always 1, so we omit the denominator</t>
    </r>
  </si>
  <si>
    <t>P(X)*X</t>
  </si>
  <si>
    <r>
      <t xml:space="preserve">P(X)*(X - </t>
    </r>
    <r>
      <rPr>
        <b/>
        <sz val="22"/>
        <color theme="1"/>
        <rFont val="Calibri"/>
        <family val="2"/>
      </rPr>
      <t>µ)^2</t>
    </r>
  </si>
  <si>
    <r>
      <t>Mean or the Expected Value (</t>
    </r>
    <r>
      <rPr>
        <b/>
        <sz val="22"/>
        <color theme="1"/>
        <rFont val="Calibri"/>
        <family val="2"/>
      </rPr>
      <t>µ)</t>
    </r>
  </si>
  <si>
    <r>
      <t>Variance (</t>
    </r>
    <r>
      <rPr>
        <b/>
        <sz val="22"/>
        <color theme="1"/>
        <rFont val="Calibri"/>
        <family val="2"/>
      </rPr>
      <t>σ^2)</t>
    </r>
  </si>
  <si>
    <r>
      <t>Std Dev (</t>
    </r>
    <r>
      <rPr>
        <b/>
        <sz val="22"/>
        <color theme="1"/>
        <rFont val="Calibri"/>
        <family val="2"/>
      </rPr>
      <t>σ)</t>
    </r>
  </si>
  <si>
    <t>GDP Growth Est</t>
  </si>
  <si>
    <r>
      <t xml:space="preserve">P(X)*(X - </t>
    </r>
    <r>
      <rPr>
        <b/>
        <sz val="18"/>
        <color theme="1"/>
        <rFont val="Calibri"/>
        <family val="2"/>
      </rPr>
      <t>µ)^2</t>
    </r>
  </si>
  <si>
    <t>Normal</t>
  </si>
  <si>
    <t>Find the expected GDP Growth and corresponding Std Deviation (Risk)</t>
  </si>
  <si>
    <t>Construct the PD for the Sum of numbers obtained if we roll TWO unbiased dice simulteneously</t>
  </si>
  <si>
    <t>Also calculate the Expected value and the Std Dev of the relevant RV (sum of two numbers obtained)</t>
  </si>
  <si>
    <t xml:space="preserve">Let X be the random variable describing the Sum of numbers obtained if we roll TWO unbiased dice simulteneously </t>
  </si>
  <si>
    <t>The compensation in a road accident where a pedestrian dies, is Rs. 5 lakhs if he dies while using the Zebra</t>
  </si>
  <si>
    <t>crossing, and Rs 1 Lakh other wise. If 85% of pedestrian death happens while they were not using the</t>
  </si>
  <si>
    <t>zebra crossing, find the expected compensation and the coresp SD if some pedestrian dies</t>
  </si>
  <si>
    <t>Let X be the random variable describing the compensation paid (In Rs. lakhs) if a pedestrian dies in a road accident</t>
  </si>
  <si>
    <t>The following table depicts the PD of X</t>
  </si>
  <si>
    <r>
      <t xml:space="preserve">P(X)*(X - </t>
    </r>
    <r>
      <rPr>
        <b/>
        <sz val="20"/>
        <color theme="1"/>
        <rFont val="Calibri"/>
        <family val="2"/>
      </rPr>
      <t>µ)^2</t>
    </r>
  </si>
  <si>
    <r>
      <t>Mean or the Expected Value (</t>
    </r>
    <r>
      <rPr>
        <b/>
        <sz val="18"/>
        <color theme="1"/>
        <rFont val="Calibri"/>
        <family val="2"/>
      </rPr>
      <t>µ)</t>
    </r>
  </si>
  <si>
    <r>
      <t>Variance (</t>
    </r>
    <r>
      <rPr>
        <b/>
        <sz val="18"/>
        <color theme="1"/>
        <rFont val="Calibri"/>
        <family val="2"/>
      </rPr>
      <t>σ^2)</t>
    </r>
  </si>
  <si>
    <r>
      <t>Std Dev (</t>
    </r>
    <r>
      <rPr>
        <b/>
        <sz val="18"/>
        <color theme="1"/>
        <rFont val="Calibri"/>
        <family val="2"/>
      </rPr>
      <t>σ)</t>
    </r>
  </si>
  <si>
    <t>EX 3</t>
  </si>
  <si>
    <t>England winning is 1 : 1.5</t>
  </si>
  <si>
    <t>If Esha Bets Rs. 10 Lakhs on India Winning the series, find her expected gain and the corresponding Risk</t>
  </si>
  <si>
    <t>Odds In Favour = Number of Favourable Cases : Number of Unfavourable Cases</t>
  </si>
  <si>
    <t>Illustrative example:</t>
  </si>
  <si>
    <t>Odds Against = No. of Unfavourable cases to an event / No of Favourable cases</t>
  </si>
  <si>
    <t xml:space="preserve">Please note that Odds in Favour is just the RECIPROCAL of Odds Against </t>
  </si>
  <si>
    <t>Let X be the random variable describing the Esha's Net Gain in Rs. Lakhs</t>
  </si>
  <si>
    <t>EX 4</t>
  </si>
  <si>
    <t>There are 5 Red, 4 Black and 3 green balls in a box. Kavya is asked to pick up three balls at random one by one</t>
  </si>
  <si>
    <t>without replacement</t>
  </si>
  <si>
    <t>If she picks up balls of the same colour, she will Get Rs. 12000, if she picks up balls of distinct colour, she will</t>
  </si>
  <si>
    <t>get Rs. 6000, otherwise she has to pay Rs. 4000.</t>
  </si>
  <si>
    <t>Should Kavya play the game? Please answer after constructing the relevant PD and computing the</t>
  </si>
  <si>
    <t>Expected value and the Risk</t>
  </si>
  <si>
    <t>Probability of picking up three balls of the Same Colour</t>
  </si>
  <si>
    <t>RRR</t>
  </si>
  <si>
    <t>(5/12)x(4/11)x(3/10) = 60 /1320</t>
  </si>
  <si>
    <t>BBB</t>
  </si>
  <si>
    <t>(4/12)x(3/11)x(2/10) = 24/ 1320</t>
  </si>
  <si>
    <t>GGG</t>
  </si>
  <si>
    <t>(3/12)x(2/11)x(1/10) = 6/ 1320</t>
  </si>
  <si>
    <t>90/1320</t>
  </si>
  <si>
    <t>Probability of picking up three balls of distinct Colours</t>
  </si>
  <si>
    <t>(5/12)x(4/11)x(3/10) = 60/1320</t>
  </si>
  <si>
    <t>Remaing probabilities = 1 - (150 / 1320)</t>
  </si>
  <si>
    <t>Let X be the random variable describing the Kavya's Gain in Rs. Thousand</t>
  </si>
  <si>
    <t>Kavya should NOT play the game because</t>
  </si>
  <si>
    <t>Expected value is negative</t>
  </si>
  <si>
    <t>Risk is too high, almost double of the abs value of the expected gain</t>
  </si>
  <si>
    <t>Theoretical Probability Distribution</t>
  </si>
  <si>
    <t>Theoretical Probability Distributions are classified broadly into TWO families: DPD and CPD</t>
  </si>
  <si>
    <t>In the DPD Familiy, we have</t>
  </si>
  <si>
    <t>In the CPD Familiy, we have</t>
  </si>
  <si>
    <t>Binomial Distribution</t>
  </si>
  <si>
    <t>Uniform Distribution or Rectangular Distribution</t>
  </si>
  <si>
    <t>Poisson Distribution</t>
  </si>
  <si>
    <t>Normal Distribution and also Standard Normal Distribution (z-Distribution)</t>
  </si>
  <si>
    <t>Hypergeometric Distribution etc</t>
  </si>
  <si>
    <t>Exponential Distribution etc</t>
  </si>
  <si>
    <t>A random Variable 'X' follows Binomial Distribution with TWO Given parameters (n, p)</t>
  </si>
  <si>
    <t>The Probability Function (PMF), to calculate the Corresponding probability for a given value of X = r (say), is</t>
  </si>
  <si>
    <r>
      <t>P(X = r) = nCr * p^r * (1-p)^(n-r),    nCr = n!/[r!</t>
    </r>
    <r>
      <rPr>
        <b/>
        <sz val="36"/>
        <color theme="1"/>
        <rFont val="Calibri"/>
        <family val="2"/>
      </rPr>
      <t>×(n - r)!]</t>
    </r>
  </si>
  <si>
    <t>Where, n is the number of Trials</t>
  </si>
  <si>
    <r>
      <t xml:space="preserve">r is the number of successful trials (r </t>
    </r>
    <r>
      <rPr>
        <b/>
        <sz val="18"/>
        <color theme="1"/>
        <rFont val="Calibri"/>
        <family val="2"/>
      </rPr>
      <t>≤ n)</t>
    </r>
  </si>
  <si>
    <t>p is the probability of success in any trial, obviously (1-p) is the probability of failure in any trial</t>
  </si>
  <si>
    <r>
      <t xml:space="preserve">The Mean Expected value of X in this PD is </t>
    </r>
    <r>
      <rPr>
        <b/>
        <sz val="24"/>
        <color theme="1"/>
        <rFont val="Calibri"/>
        <family val="2"/>
      </rPr>
      <t>µ= np and the Variance of X, σ^2 = n*p*(1-p)</t>
    </r>
  </si>
  <si>
    <t>Binomial Distn is a DPD, X can assume values only from the set of WHOLE Numbers</t>
  </si>
  <si>
    <t xml:space="preserve">We know that 3 out of 10 students in this section (having say 60 students) has prior work exp. We choose 5 students at random </t>
  </si>
  <si>
    <t>from this section.</t>
  </si>
  <si>
    <t>What is the chance that exactly one of them (out of 5) will have prior work experience?</t>
  </si>
  <si>
    <t>let W be the event describing that a randomly chosen student has prior work exp</t>
  </si>
  <si>
    <t>P(W) = 3/10, P(W') = 7/10</t>
  </si>
  <si>
    <t>Answer is = 5C1 * (3/10) * (7/10)* (7/10)*(7/10)*(7/10)</t>
  </si>
  <si>
    <t>Applying BINOMIAL Distribution</t>
  </si>
  <si>
    <t>Let X be the Random Variable describing the number of students having prior work exp in the sample of 5 students</t>
  </si>
  <si>
    <t>Here we can safely assume that X follows BINOMIAL Distribution with (n = 5, p = 0.3)</t>
  </si>
  <si>
    <t>The follwing table describes the PD of X</t>
  </si>
  <si>
    <t>p</t>
  </si>
  <si>
    <r>
      <t>P(X = r) = nCr * p^r * (1-p)^(n-r),    nCr = n!/[r!</t>
    </r>
    <r>
      <rPr>
        <b/>
        <sz val="24"/>
        <color theme="1"/>
        <rFont val="Calibri"/>
        <family val="2"/>
      </rPr>
      <t>×(n - r)!]</t>
    </r>
  </si>
  <si>
    <t>Value of P(X)</t>
  </si>
  <si>
    <t>C(X)</t>
  </si>
  <si>
    <t>P(X = 0) = 5C0 * (0.3)^0 * (1 - 0.3)^(5-0)</t>
  </si>
  <si>
    <t>P(X = 1) = 5C1* (0.3)^1 * (1 - 0.3)^(5-1)</t>
  </si>
  <si>
    <t>P(X = 2) = 5C2* (0.3)^2 * (1 - 0.3)^(5-2)</t>
  </si>
  <si>
    <t>P(X = 3) = 5C3* (0.3)^3 * (1 - 0.3)^(5-3)</t>
  </si>
  <si>
    <t>P(X = 4) = 5C4* (0.3)^4 * (1 - 0.3)^(5-4)</t>
  </si>
  <si>
    <t>P(X = 5) = 5C5* (0.3)^5* (1 - 0.3)^(5-5)</t>
  </si>
  <si>
    <t>Find the following probabilities:</t>
  </si>
  <si>
    <t>Exactly one of them will have prior work exp?</t>
  </si>
  <si>
    <t>P(X=1)</t>
  </si>
  <si>
    <t>None of them will have prior work exp?</t>
  </si>
  <si>
    <t>P(X=0)</t>
  </si>
  <si>
    <t>At least THREE of them will have prior work exp?</t>
  </si>
  <si>
    <t>P(X=3)+P(X=4)+P(X=5)</t>
  </si>
  <si>
    <t>At most THREE of them will have prior work exp?</t>
  </si>
  <si>
    <t>1 - [P(X=4) + P(X=5)]</t>
  </si>
  <si>
    <t>on a particular night, answer the following</t>
  </si>
  <si>
    <t>(i)</t>
  </si>
  <si>
    <t>Probability that none of the cars get stolen</t>
  </si>
  <si>
    <t>(ii)</t>
  </si>
  <si>
    <t>Probability that at least two cars get stolen</t>
  </si>
  <si>
    <t>(iii)</t>
  </si>
  <si>
    <t>Probability that at most two cars get stolen</t>
  </si>
  <si>
    <t>Please construct the Prob Distn table</t>
  </si>
  <si>
    <t>Soln</t>
  </si>
  <si>
    <t>Let X be the random variable describing the Number of Cars Stolen, so obviously X can have 7 possible</t>
  </si>
  <si>
    <t>values {0,1,2,3,4,5,6}</t>
  </si>
  <si>
    <t>Here X follows a Binomial distribution, with the following input parameters</t>
  </si>
  <si>
    <t>(1-p)</t>
  </si>
  <si>
    <t>The folloiwng table depicts the Probability Distribution of X</t>
  </si>
  <si>
    <t>Suppose there is  75% probability that a penalty kick will be converted by Barcelona FC, a famous football club in Spain, irrespective</t>
  </si>
  <si>
    <t>of who takes the penalty kick. In a "Tie-Breaker", one team takes FIVE Penalty kicks</t>
  </si>
  <si>
    <t>Probability that five goals will be scored</t>
  </si>
  <si>
    <t>Probability that at least two goals will be scored</t>
  </si>
  <si>
    <t>Probability that at most two goals will be scored</t>
  </si>
  <si>
    <t>Let X be the random variable describing the Number of goals scored in the 'tie-breaker', so obviously X can have 6 possible</t>
  </si>
  <si>
    <t>values {0,1,2,3,4,5}</t>
  </si>
  <si>
    <t>The following table depicts the Probability Distribution of X</t>
  </si>
  <si>
    <t>Habib, the TATA SKY technician, knows that 2 out of 10 set top box does not work properly. On a certain day, he has to complete</t>
  </si>
  <si>
    <t>installtion in 15 customer's home</t>
  </si>
  <si>
    <t xml:space="preserve">Minimum how many set top box, he should start with in the morning, so that he is at least 90% sure, that he will be </t>
  </si>
  <si>
    <t>able to serve all the customers successfully (that means the set top boxes provided to them functions properly)?</t>
  </si>
  <si>
    <t>Let X be the random variable describing the functioning Set Top Boxes</t>
  </si>
  <si>
    <t xml:space="preserve">X follows Binomial distribution with </t>
  </si>
  <si>
    <t>Unknown</t>
  </si>
  <si>
    <t>Habib has to satisfy 15 customers on thay day, so at least 15 set top boxes should be functional, that automatically</t>
  </si>
  <si>
    <t>implies that Habib has to start with minimum 15 set top boxes</t>
  </si>
  <si>
    <t>Scenario Table</t>
  </si>
  <si>
    <t>Possible Values of n, The number of Set top Boxes that Habib should carry on that day</t>
  </si>
  <si>
    <t>Probability of having at least 15 Fuctional Set Top Boxes</t>
  </si>
  <si>
    <t>Habib should start with minimum 22 set top boxes</t>
  </si>
  <si>
    <t>A machine produces with 1% defect rate, we pick up 10 items produced, at random.</t>
  </si>
  <si>
    <t>What is the probability that at least 7 of them are perfect?</t>
  </si>
  <si>
    <t>Let X be the random variable describing no of perfect items in the sample</t>
  </si>
  <si>
    <t>X follows Binomial distn with</t>
  </si>
  <si>
    <t>1-p</t>
  </si>
  <si>
    <t>The probability that at least 7 of them are perfect</t>
  </si>
  <si>
    <t>Probability for at least n = (1 - probability for at most (n - 1)), for any discrete PD</t>
  </si>
  <si>
    <t xml:space="preserve">It is believed that 12% of all milk packets are contaminated in the supply chain. If you want 5 pure milk packets, how many </t>
  </si>
  <si>
    <t>minimum milk packets you should buy, so that you are at least 95% confident that you have 5 "PURE" milk packets?</t>
  </si>
  <si>
    <t>Let X be the random variable describing no of packets with pure milk</t>
  </si>
  <si>
    <t>X follows binomial distn with unknown 'n' and probability of success as 88% for any trial</t>
  </si>
  <si>
    <t>Possible Values of n, no of milk packets purchased</t>
  </si>
  <si>
    <t>Probability of having at least 5 pure milk packets</t>
  </si>
  <si>
    <t xml:space="preserve">A detergent brand inserts lucky coupon in 1.4% of all the packets that they sell. How many minimum such packets you should </t>
  </si>
  <si>
    <t>buy to get at least one lucky coupon, and you are 99% confident that you have one lucky coupon among the packets purchased?</t>
  </si>
  <si>
    <t>Let X be the random variable describing no of packets with the lucky coupon</t>
  </si>
  <si>
    <t>X follows binomial distn with unknown 'n' and probability of success as 1.4% for any trial</t>
  </si>
  <si>
    <t>Possible Values of n, no of  packets purchased</t>
  </si>
  <si>
    <t>Probability of having at least 1 packet with the lucky coupon</t>
  </si>
  <si>
    <t>Using GOAL SEEK Function in Excel</t>
  </si>
  <si>
    <t xml:space="preserve">In the coming Test Cricket Series between India and England, the Odds In Favour of India winning is 1 : 4 and </t>
  </si>
  <si>
    <t>Suppose Odds Against ant event = 1:2</t>
  </si>
  <si>
    <t>So the probability of that event = 2/3</t>
  </si>
  <si>
    <t>So the complementary probability of that event = 1/3</t>
  </si>
  <si>
    <t>Suppose there is just 2% probability that a gang of car thief can open a car using the master key. If the gang tries to upon 6 cars</t>
  </si>
  <si>
    <t>Some candidates are shortlisted for the final interview, and it is observed that the mean expected number of candidates to get an offer</t>
  </si>
  <si>
    <t>is 1.05 with a std dev of 0.944722.</t>
  </si>
  <si>
    <t>What is the probability that at least 4 candidates will get an offer if they short list 10 candidates on another day, assuming the same probability</t>
  </si>
  <si>
    <t>of success prevails for an idividual candidate?</t>
  </si>
  <si>
    <r>
      <t xml:space="preserve">The Mean Expected value of X in this PD is </t>
    </r>
    <r>
      <rPr>
        <b/>
        <sz val="22"/>
        <color theme="1"/>
        <rFont val="Calibri"/>
        <family val="2"/>
      </rPr>
      <t>µ = np and the Variance of X, σ^2 = n*p*(1-p)</t>
    </r>
  </si>
  <si>
    <r>
      <t xml:space="preserve">Mean value of X in Binomial Distribution , </t>
    </r>
    <r>
      <rPr>
        <b/>
        <sz val="18"/>
        <color theme="1"/>
        <rFont val="Calibri"/>
        <family val="2"/>
      </rPr>
      <t>µ = np (Same as Poisson distribution)</t>
    </r>
  </si>
  <si>
    <r>
      <t xml:space="preserve">Std Deviation value of X in Binomial Distribution , </t>
    </r>
    <r>
      <rPr>
        <b/>
        <sz val="18"/>
        <color theme="1"/>
        <rFont val="Calibri"/>
        <family val="2"/>
      </rPr>
      <t>σ = √[np(1-p)], Variance = np(1-p)</t>
    </r>
  </si>
  <si>
    <t>σ = √[np(1-p)] = 0.944722</t>
  </si>
  <si>
    <t>np(1 - p)</t>
  </si>
  <si>
    <t>so, σ^2 = [np(1-p)] = (0.944722)^2 = 0.8925</t>
  </si>
  <si>
    <t>np</t>
  </si>
  <si>
    <r>
      <t xml:space="preserve">Also we know that  </t>
    </r>
    <r>
      <rPr>
        <b/>
        <sz val="18"/>
        <color theme="1"/>
        <rFont val="Calibri"/>
        <family val="2"/>
      </rPr>
      <t>μ =</t>
    </r>
    <r>
      <rPr>
        <b/>
        <sz val="18"/>
        <color theme="1"/>
        <rFont val="Calibri"/>
        <family val="2"/>
        <scheme val="minor"/>
      </rPr>
      <t xml:space="preserve"> np = 1.05</t>
    </r>
  </si>
  <si>
    <t>(1 - p)</t>
  </si>
  <si>
    <t>Dividing, we get,  (1 - p) = 0.85</t>
  </si>
  <si>
    <t>so, p = 0.15 and hence n= 7</t>
  </si>
  <si>
    <t>Let X be the random variable describing the Number of succesful candidates who will get the offer among 10 candidates</t>
  </si>
  <si>
    <r>
      <t xml:space="preserve">P(X </t>
    </r>
    <r>
      <rPr>
        <b/>
        <sz val="18"/>
        <color theme="1"/>
        <rFont val="Calibri"/>
        <family val="2"/>
      </rPr>
      <t xml:space="preserve">≥ 4)  = 1 - P(X ≤ 3) = </t>
    </r>
  </si>
  <si>
    <t>POISSON Distribution (DPD)</t>
  </si>
  <si>
    <t xml:space="preserve">POISSON Distribition: It is a theoretical Probability Distribution with Discrete Variables. Please note that the formula for </t>
  </si>
  <si>
    <t>calculating the probability (PMF) for a given value of X, is</t>
  </si>
  <si>
    <t>P(X = r) = e^(-np)*(np)^r / (r!)</t>
  </si>
  <si>
    <t>P(X = r) = e^(-m)*(m)^r / (r!)</t>
  </si>
  <si>
    <t>Where</t>
  </si>
  <si>
    <t>No of trials</t>
  </si>
  <si>
    <t>probability of success in any trial</t>
  </si>
  <si>
    <t>(n*p)</t>
  </si>
  <si>
    <t>is expresed as 'm', is the mean of the distribution</t>
  </si>
  <si>
    <t>r</t>
  </si>
  <si>
    <t>No of successful trials</t>
  </si>
  <si>
    <t>So the only parameter which governs the property of POISSON Distn is the mean value of X, "m"</t>
  </si>
  <si>
    <t>Please note that POISSON distribution is applicable when 'n' is very very large, 'p' is very small, such that n*p is a</t>
  </si>
  <si>
    <t>finite number. It is a 'Limiting Case of Binomial Distn' where n tends to infinity and p tends to ZERO</t>
  </si>
  <si>
    <t xml:space="preserve">Suppose in a busy maternity center, on an average 1 baby is born in every 15 minutes and the number of babies born per unit time follows </t>
  </si>
  <si>
    <t>POISSON Distn</t>
  </si>
  <si>
    <t>Probability that no baby will be born in next one hour</t>
  </si>
  <si>
    <t>Probability that at least two babies will be born in next one hour</t>
  </si>
  <si>
    <t>Probability that at most two babies will be born in next one hour</t>
  </si>
  <si>
    <t>Let X be the random variable describing the Number of babies born in a one hour period, so obviously X can have infinite possible</t>
  </si>
  <si>
    <t>discrete values {0,1,2,3,4,5….......}</t>
  </si>
  <si>
    <t>Here X follows a POISSON distribution, with the following input parameters</t>
  </si>
  <si>
    <t>m = n*p</t>
  </si>
  <si>
    <t>Suppose in a busy ATM, 1 customer comes in every 3 minutes</t>
  </si>
  <si>
    <t>Probability that no customer will come in next one hour</t>
  </si>
  <si>
    <t>Probability that at least three customer will come in next one hour</t>
  </si>
  <si>
    <t>Probability that at most three customer will come in next one hour</t>
  </si>
  <si>
    <t>Pl construct the partial PD upto sufficiently large value of n</t>
  </si>
  <si>
    <t xml:space="preserve">Let X be the random variable describing the Number of customers coming to the ATM in a one hour period, so obviously X can </t>
  </si>
  <si>
    <t>have infinite possible values {0,1,2,3,4,5….......}</t>
  </si>
  <si>
    <t>The following table depicts the partial Probability Distribution of X (partially)</t>
  </si>
  <si>
    <t>Probability that at least three customers will come in next one hour</t>
  </si>
  <si>
    <t>There is a book containing 1200 pages. Probability of having a printing mistake in any randomly chosen page is 0.0002. Find the</t>
  </si>
  <si>
    <t>Probability that no printing mistake will be found in the book</t>
  </si>
  <si>
    <t>Probability that at least five printing mistake will be found in the book</t>
  </si>
  <si>
    <t>Probability that at most five printing mistake will be found in the book</t>
  </si>
  <si>
    <t>Let X be the random variable describing the Number printing mistakes in the book, so obviously X can have infinite possible</t>
  </si>
  <si>
    <t>values {0,1,2,3,4,5….......}</t>
  </si>
  <si>
    <t>Probability of an industrial accident occurring in any thermal power plant in india on any given day is 0.0002</t>
  </si>
  <si>
    <t>There are 900 thermal power plants in India</t>
  </si>
  <si>
    <t>Find the probability of</t>
  </si>
  <si>
    <t>At least 2 industrial accidents on any given day in an Indian Thermal Power Plant</t>
  </si>
  <si>
    <t>At most 3 industrial accidents occurring on any given day in an Indian Thermal Power Plant</t>
  </si>
  <si>
    <t xml:space="preserve">Let X be the random variable describing the Number of industrial accidents in the Thermal Power Plants in India, so </t>
  </si>
  <si>
    <t>theoretically X can have infinite possible values {0,1,2,3,4,5,6….infinity}</t>
  </si>
  <si>
    <t>Here X follows a Poisson distribution, with the following input parameters</t>
  </si>
  <si>
    <t>m</t>
  </si>
  <si>
    <t>POISSON</t>
  </si>
  <si>
    <t>Important Property of Poisson Distribution:</t>
  </si>
  <si>
    <t xml:space="preserve">Poisson distribution for any discrete RV X, may be converted to a corresponding Exponential Distribution (CPD) with the RV T, </t>
  </si>
  <si>
    <t>describing the time interval between successive occurance of X, and VICE VERSA</t>
  </si>
  <si>
    <t>So, if X is the random variable describing the Number of industrial accidents in the Thermal Power Plants in India, which follows</t>
  </si>
  <si>
    <t>POISSON Distn, then the Random Variable T, which describes the time interval between successive industrual accidents, will naturally</t>
  </si>
  <si>
    <t>follow EXPONENTIAL Distn</t>
  </si>
  <si>
    <t xml:space="preserve">         P(X)</t>
  </si>
  <si>
    <t xml:space="preserve">                                            a                k</t>
  </si>
  <si>
    <t xml:space="preserve">                                  b</t>
  </si>
  <si>
    <t xml:space="preserve">     (b - a)</t>
  </si>
  <si>
    <t>The Random Variable X is a Continuous RV, it assumes all possible values in a given range (a,b)</t>
  </si>
  <si>
    <t>In a Uniform Distribution, The corresponding probabilities for all the possible values of X,</t>
  </si>
  <si>
    <t>remains the same</t>
  </si>
  <si>
    <t>The total closed area in the rectangle is nothing but the sum of ALL Probabilities in this PD, and it is equal to 1</t>
  </si>
  <si>
    <t>So we can conclude that for all values of 'X', the corresponding probability [1/(b-a)]</t>
  </si>
  <si>
    <t>So, The Probability Density Function: f(x) = 1/(b - a)</t>
  </si>
  <si>
    <t>Thi is a constant function, f(x) does not depend on values of x</t>
  </si>
  <si>
    <r>
      <t xml:space="preserve">Obviously the Mean value of X is E(X) = </t>
    </r>
    <r>
      <rPr>
        <b/>
        <sz val="18"/>
        <color theme="1"/>
        <rFont val="Calibri"/>
        <family val="2"/>
      </rPr>
      <t>μ = (b + a)/2, Variance, σ^2 = [(b - a)^2 / 12]</t>
    </r>
  </si>
  <si>
    <t>Also note that for all CPD related questions, we always enquire about cumulative probability, never enquire about individual</t>
  </si>
  <si>
    <t>probability</t>
  </si>
  <si>
    <t xml:space="preserve">Please note that for any value of X, the individial probability is [1/(b-a)] but the cumulative probability is the area of </t>
  </si>
  <si>
    <t>the part of the rectangle starting from 'a' to x = k (say)</t>
  </si>
  <si>
    <t>Since the width is constant, the fraction of length out of the total length of the base of the rectangle (b-a), determines</t>
  </si>
  <si>
    <t>the cumulative probability which is equal to (k - a) / (b - a), represented by the shaded area in the diagram drawn above</t>
  </si>
  <si>
    <r>
      <t xml:space="preserve">for example, if we assume that a = 100 and b = 200, the we enquire what is the probability that X </t>
    </r>
    <r>
      <rPr>
        <b/>
        <sz val="18"/>
        <color theme="1"/>
        <rFont val="Calibri"/>
        <family val="2"/>
      </rPr>
      <t>≤ 140…….........</t>
    </r>
  </si>
  <si>
    <t>The answer is (x-a) / (b-a) = (140 - 100) / (200-100) = 40%</t>
  </si>
  <si>
    <t>Similarly we can ask what is the probability that X lies between 125 and 160……........</t>
  </si>
  <si>
    <r>
      <t xml:space="preserve">P(X </t>
    </r>
    <r>
      <rPr>
        <b/>
        <sz val="18"/>
        <color theme="1"/>
        <rFont val="Calibri"/>
        <family val="2"/>
      </rPr>
      <t>≤ 160) = 60%</t>
    </r>
  </si>
  <si>
    <r>
      <t xml:space="preserve">P(X </t>
    </r>
    <r>
      <rPr>
        <b/>
        <sz val="18"/>
        <color theme="1"/>
        <rFont val="Calibri"/>
        <family val="2"/>
      </rPr>
      <t>≤ 125) = 25%</t>
    </r>
  </si>
  <si>
    <r>
      <t xml:space="preserve">P(125 ≤ X </t>
    </r>
    <r>
      <rPr>
        <b/>
        <sz val="18"/>
        <color theme="1"/>
        <rFont val="Calibri"/>
        <family val="2"/>
      </rPr>
      <t>≤ 160) = 60% - 25% = 35%</t>
    </r>
  </si>
  <si>
    <t>Cost of manufacturing a smart phone in a partcular factory in Taiwan varies UNIFORMLY between $40 to $65</t>
  </si>
  <si>
    <t>Answer the following:</t>
  </si>
  <si>
    <t>What is the probability that the manufacturing cost will be between $45 to $ 53?</t>
  </si>
  <si>
    <t>What is the probability that the manufacturing cost will be at least $57?</t>
  </si>
  <si>
    <t>What is the the benchmark cost which carries a cumulative probability of 75%?</t>
  </si>
  <si>
    <t>Let X be the RV describing the cost of manufacturing a smartphone (in $), X follows Uniform distribution with a = 40 and b = 65</t>
  </si>
  <si>
    <r>
      <t xml:space="preserve">P(45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X ≤ 53) = P(X </t>
    </r>
    <r>
      <rPr>
        <b/>
        <sz val="18"/>
        <color theme="1"/>
        <rFont val="Calibri"/>
        <family val="2"/>
      </rPr>
      <t>≤</t>
    </r>
    <r>
      <rPr>
        <b/>
        <sz val="19.8"/>
        <color theme="1"/>
        <rFont val="Calibri"/>
        <family val="2"/>
      </rPr>
      <t xml:space="preserve"> 53) - P(X ≤ 45) = (13/25) - (5/25) = 8/25</t>
    </r>
  </si>
  <si>
    <r>
      <t xml:space="preserve">This is same as (1 - at most $57) =1 = P(X </t>
    </r>
    <r>
      <rPr>
        <b/>
        <sz val="18"/>
        <color theme="1"/>
        <rFont val="Calibri"/>
        <family val="2"/>
      </rPr>
      <t xml:space="preserve">≤ 57) = </t>
    </r>
    <r>
      <rPr>
        <b/>
        <sz val="18"/>
        <color theme="1"/>
        <rFont val="Calibri"/>
        <family val="2"/>
        <scheme val="minor"/>
      </rPr>
      <t>1 - (17/25) = 8/25</t>
    </r>
  </si>
  <si>
    <r>
      <t xml:space="preserve">a + P(X </t>
    </r>
    <r>
      <rPr>
        <b/>
        <sz val="18"/>
        <color theme="1"/>
        <rFont val="Calibri"/>
        <family val="2"/>
      </rPr>
      <t>≤ k)*(b - a)</t>
    </r>
  </si>
  <si>
    <t>Chance of getting an offer with certain CTC is uniformly distributed between a CTC of Rs. 9 lakhs and 12 lakhs.</t>
  </si>
  <si>
    <t>What is the chance that the CTC offerred will be at least 11.8 Lakhs?</t>
  </si>
  <si>
    <t>What is the chance that the CTC offerred will be at most 9.6 Lakhs?</t>
  </si>
  <si>
    <t>What is the chance that the CTC offerred will be between 10.5 to 11.7 Lakhs?</t>
  </si>
  <si>
    <t>What is the CTC level which carries a cumulative probability of 66.66666…...recurring%?</t>
  </si>
  <si>
    <t>Let X be the RV describing the the offer in Rs Lakhs, X follows Uniform distribution with a = 9 and b = 12</t>
  </si>
  <si>
    <r>
      <t xml:space="preserve">P(X </t>
    </r>
    <r>
      <rPr>
        <b/>
        <sz val="18"/>
        <color theme="1"/>
        <rFont val="Calibri"/>
        <family val="2"/>
      </rPr>
      <t>≥ 11.8) = 1 - P(X &lt; 11.8)</t>
    </r>
  </si>
  <si>
    <r>
      <t xml:space="preserve">P(X </t>
    </r>
    <r>
      <rPr>
        <b/>
        <sz val="18"/>
        <color theme="1"/>
        <rFont val="Calibri"/>
        <family val="2"/>
      </rPr>
      <t>≤ 9.6</t>
    </r>
    <r>
      <rPr>
        <b/>
        <sz val="18"/>
        <color theme="1"/>
        <rFont val="Calibri"/>
        <family val="2"/>
        <scheme val="minor"/>
      </rPr>
      <t>)</t>
    </r>
  </si>
  <si>
    <r>
      <t xml:space="preserve">P(10.5  ≤ X </t>
    </r>
    <r>
      <rPr>
        <b/>
        <sz val="18"/>
        <color theme="1"/>
        <rFont val="Calibri"/>
        <family val="2"/>
      </rPr>
      <t>≤ 11.7</t>
    </r>
    <r>
      <rPr>
        <b/>
        <sz val="18"/>
        <color theme="1"/>
        <rFont val="Calibri"/>
        <family val="2"/>
        <scheme val="minor"/>
      </rPr>
      <t>)</t>
    </r>
  </si>
  <si>
    <t>Normal Distribution and Standard Normal Distribution (z-Distribution)</t>
  </si>
  <si>
    <r>
      <t>A Random Variable X follows a NORMAL Distrubution with two given parameters, Mean (</t>
    </r>
    <r>
      <rPr>
        <b/>
        <sz val="18"/>
        <color theme="1"/>
        <rFont val="Calibri"/>
        <family val="2"/>
      </rPr>
      <t>µ</t>
    </r>
    <r>
      <rPr>
        <b/>
        <sz val="18"/>
        <color theme="1"/>
        <rFont val="Calibri"/>
        <family val="2"/>
        <scheme val="minor"/>
      </rPr>
      <t>) and Standard Deviation (</t>
    </r>
    <r>
      <rPr>
        <b/>
        <sz val="18"/>
        <color theme="1"/>
        <rFont val="Calibri"/>
        <family val="2"/>
      </rPr>
      <t>σ</t>
    </r>
    <r>
      <rPr>
        <b/>
        <sz val="18"/>
        <color theme="1"/>
        <rFont val="Calibri"/>
        <family val="2"/>
        <scheme val="minor"/>
      </rPr>
      <t>)</t>
    </r>
  </si>
  <si>
    <t>This is the most famous "Bell-shaped Curve"</t>
  </si>
  <si>
    <t>In any CPD, we generally we face two types of questions:</t>
  </si>
  <si>
    <t>Find the Cumulative probability for a given value of X ( Greater than type, less than type and in between type)</t>
  </si>
  <si>
    <t>Find the value of X, for a given value of cumulative probability</t>
  </si>
  <si>
    <t>In Normal Distn, the corresponding prob may be calculated using the Prob Density Function</t>
  </si>
  <si>
    <r>
      <t>PDF : f(x)  = [1/</t>
    </r>
    <r>
      <rPr>
        <b/>
        <sz val="28"/>
        <color theme="1"/>
        <rFont val="Calibri"/>
        <family val="2"/>
      </rPr>
      <t>√2*∏*σ]*e^{(-1/2)[(x - µ)/σ]^2}</t>
    </r>
  </si>
  <si>
    <r>
      <t xml:space="preserve">At X = </t>
    </r>
    <r>
      <rPr>
        <b/>
        <sz val="18"/>
        <color theme="1"/>
        <rFont val="Calibri"/>
        <family val="2"/>
      </rPr>
      <t>μ, the PDF attains its maxima, f(x) Maximum = [1/√2*∏*σ]</t>
    </r>
  </si>
  <si>
    <t>Total area under the curve is sum of all probs  = 1</t>
  </si>
  <si>
    <t>How to calculate the CUM Prob wihtout using Definite Integral?</t>
  </si>
  <si>
    <t xml:space="preserve">First of all it is customary to convert the variable X into a </t>
  </si>
  <si>
    <t>Standard Normal Variable Z</t>
  </si>
  <si>
    <t>Where z = (x - µ)/σ   [this is a LINEAR Transform]……</t>
  </si>
  <si>
    <t>obviously the REVERSE Transform x = μ + z*σ</t>
  </si>
  <si>
    <t>Z as a standard normal variable follows Normal Distribution with</t>
  </si>
  <si>
    <t>µ = 0, σ = 1</t>
  </si>
  <si>
    <r>
      <t>PDF : f(z)  = [1/</t>
    </r>
    <r>
      <rPr>
        <b/>
        <sz val="28"/>
        <color theme="1"/>
        <rFont val="Calibri"/>
        <family val="2"/>
      </rPr>
      <t>√2*∏*σ]*e^{(-1/2)[(z]^2}</t>
    </r>
  </si>
  <si>
    <r>
      <t>Cumulative Density Function is used to computethe value of the Definite Integral from -</t>
    </r>
    <r>
      <rPr>
        <b/>
        <sz val="20"/>
        <color theme="1"/>
        <rFont val="Calibri"/>
        <family val="2"/>
      </rPr>
      <t>∞</t>
    </r>
    <r>
      <rPr>
        <b/>
        <sz val="20"/>
        <color theme="1"/>
        <rFont val="Calibri"/>
        <family val="2"/>
        <scheme val="minor"/>
      </rPr>
      <t xml:space="preserve"> to Z = z</t>
    </r>
  </si>
  <si>
    <r>
      <t xml:space="preserve">CDF : F(z) =  </t>
    </r>
    <r>
      <rPr>
        <b/>
        <sz val="28"/>
        <color theme="1"/>
        <rFont val="Calibri"/>
        <family val="2"/>
      </rPr>
      <t>∫</t>
    </r>
    <r>
      <rPr>
        <b/>
        <sz val="28"/>
        <color theme="1"/>
        <rFont val="Calibri"/>
        <family val="2"/>
        <scheme val="minor"/>
      </rPr>
      <t xml:space="preserve">f(z) . dz  = </t>
    </r>
    <r>
      <rPr>
        <b/>
        <sz val="28"/>
        <color theme="1"/>
        <rFont val="Calibri"/>
        <family val="2"/>
      </rPr>
      <t>∫</t>
    </r>
    <r>
      <rPr>
        <b/>
        <sz val="28"/>
        <color theme="1"/>
        <rFont val="Calibri"/>
        <family val="2"/>
        <scheme val="minor"/>
      </rPr>
      <t>[1/</t>
    </r>
    <r>
      <rPr>
        <b/>
        <sz val="28"/>
        <color theme="1"/>
        <rFont val="Calibri"/>
        <family val="2"/>
      </rPr>
      <t>√2*∏*σ]*e^{(-1/2)[(z]^2}</t>
    </r>
  </si>
  <si>
    <t>X can have any unit, but z is dimensionless</t>
  </si>
  <si>
    <t>Using z-table (pay small tribute to Karl F Gauss)</t>
  </si>
  <si>
    <r>
      <t xml:space="preserve">Z-table is a compilation of cumulative area (cumulative probability) starting from - </t>
    </r>
    <r>
      <rPr>
        <b/>
        <sz val="18"/>
        <color theme="1"/>
        <rFont val="Calibri"/>
        <family val="2"/>
      </rPr>
      <t>∞</t>
    </r>
    <r>
      <rPr>
        <b/>
        <sz val="18"/>
        <color theme="1"/>
        <rFont val="Calibri"/>
        <family val="2"/>
        <scheme val="minor"/>
      </rPr>
      <t xml:space="preserve"> to a particular value of Z = z</t>
    </r>
  </si>
  <si>
    <t>So we do not have to perform definite integral in every qs, we just refer the z-table to get the cumulative area</t>
  </si>
  <si>
    <r>
      <t xml:space="preserve">P(Z </t>
    </r>
    <r>
      <rPr>
        <b/>
        <sz val="18"/>
        <color theme="1"/>
        <rFont val="Calibri"/>
        <family val="2"/>
      </rPr>
      <t>≤ 1.25)</t>
    </r>
  </si>
  <si>
    <t>A leading brand of Pizza Delivery service observes that the Delivery Time follows NORMAL Distrubution with a mean of</t>
  </si>
  <si>
    <t>30 minutes and a std dev of 5 minutes</t>
  </si>
  <si>
    <t>What is the probability that a particular delivery will happen within 40 minutes?</t>
  </si>
  <si>
    <t>What is the probability that a particular delivery will happen between 22 to 42 minutes?</t>
  </si>
  <si>
    <t>What is the probability that a particular delivery will take at least 37.5 minutes?</t>
  </si>
  <si>
    <t>What is the Benchmark Delivery time within which 90% of the delieveries take place?</t>
  </si>
  <si>
    <t>z-score:</t>
  </si>
  <si>
    <r>
      <t xml:space="preserve">z-score reprsents the concept that a particular value of X, is situated how many </t>
    </r>
    <r>
      <rPr>
        <b/>
        <sz val="18"/>
        <color theme="1"/>
        <rFont val="Calibri"/>
        <family val="2"/>
      </rPr>
      <t>σ</t>
    </r>
    <r>
      <rPr>
        <b/>
        <sz val="18"/>
        <color theme="1"/>
        <rFont val="Calibri"/>
        <family val="2"/>
        <scheme val="minor"/>
      </rPr>
      <t xml:space="preserve"> units away, w.r.t. the Mean value (</t>
    </r>
    <r>
      <rPr>
        <b/>
        <sz val="18"/>
        <color theme="1"/>
        <rFont val="Calibri"/>
        <family val="2"/>
      </rPr>
      <t>μ)</t>
    </r>
  </si>
  <si>
    <t>Let X be the Random Variable describing 'the delievery time' in minutes, for a particular brand of pizza</t>
  </si>
  <si>
    <t xml:space="preserve">Here X follows NORMAL Distribution with </t>
  </si>
  <si>
    <t>µ</t>
  </si>
  <si>
    <t>σ</t>
  </si>
  <si>
    <r>
      <t xml:space="preserve">P(X </t>
    </r>
    <r>
      <rPr>
        <b/>
        <sz val="18"/>
        <color theme="1"/>
        <rFont val="Calibri"/>
        <family val="2"/>
      </rPr>
      <t>≤ 40)</t>
    </r>
  </si>
  <si>
    <r>
      <t xml:space="preserve">As a first step we convert the variable X, into a STANDARD NORMAL Variable Z, using Z = (X - </t>
    </r>
    <r>
      <rPr>
        <b/>
        <sz val="18"/>
        <color theme="1"/>
        <rFont val="Calibri"/>
        <family val="2"/>
      </rPr>
      <t>µ) / σ</t>
    </r>
  </si>
  <si>
    <t>so fo X = 40, Z = 2</t>
  </si>
  <si>
    <r>
      <t xml:space="preserve">P(X </t>
    </r>
    <r>
      <rPr>
        <b/>
        <sz val="18"/>
        <color theme="1"/>
        <rFont val="Calibri"/>
        <family val="2"/>
      </rPr>
      <t>≤ 40) = P(Z ≤ 2) =</t>
    </r>
  </si>
  <si>
    <t>From z-table</t>
  </si>
  <si>
    <t>Using NORMSDIST</t>
  </si>
  <si>
    <t>Using NORMDIST</t>
  </si>
  <si>
    <r>
      <t xml:space="preserve">P(22 ≤ X </t>
    </r>
    <r>
      <rPr>
        <b/>
        <sz val="18"/>
        <color theme="1"/>
        <rFont val="Calibri"/>
        <family val="2"/>
      </rPr>
      <t>≤ 42)</t>
    </r>
    <r>
      <rPr>
        <b/>
        <sz val="18"/>
        <color theme="1"/>
        <rFont val="Calibri"/>
        <family val="2"/>
        <scheme val="minor"/>
      </rPr>
      <t xml:space="preserve"> = </t>
    </r>
  </si>
  <si>
    <r>
      <t xml:space="preserve">P(X </t>
    </r>
    <r>
      <rPr>
        <b/>
        <sz val="18"/>
        <color theme="1"/>
        <rFont val="Calibri"/>
        <family val="2"/>
      </rPr>
      <t>≤ 42) - P(X ≤ 22)</t>
    </r>
    <r>
      <rPr>
        <b/>
        <sz val="18"/>
        <color theme="1"/>
        <rFont val="Calibri"/>
        <family val="2"/>
        <scheme val="minor"/>
      </rPr>
      <t xml:space="preserve"> = </t>
    </r>
  </si>
  <si>
    <r>
      <t xml:space="preserve">P(Z </t>
    </r>
    <r>
      <rPr>
        <b/>
        <sz val="18"/>
        <color theme="1"/>
        <rFont val="Calibri"/>
        <family val="2"/>
      </rPr>
      <t>≤ 2.4) - P(Z ≤ -1.6)</t>
    </r>
    <r>
      <rPr>
        <b/>
        <sz val="18"/>
        <color theme="1"/>
        <rFont val="Calibri"/>
        <family val="2"/>
        <scheme val="minor"/>
      </rPr>
      <t xml:space="preserve"> = </t>
    </r>
  </si>
  <si>
    <t>0.9918 - 0.0548 =</t>
  </si>
  <si>
    <r>
      <t xml:space="preserve">P(X &gt; 37.5) = 1 - P(X </t>
    </r>
    <r>
      <rPr>
        <b/>
        <sz val="18"/>
        <color theme="1"/>
        <rFont val="Calibri"/>
        <family val="2"/>
      </rPr>
      <t>≤ 37.5)</t>
    </r>
    <r>
      <rPr>
        <b/>
        <sz val="18"/>
        <color theme="1"/>
        <rFont val="Calibri"/>
        <family val="2"/>
        <scheme val="minor"/>
      </rPr>
      <t xml:space="preserve"> =</t>
    </r>
  </si>
  <si>
    <r>
      <t xml:space="preserve">1 - P(Z </t>
    </r>
    <r>
      <rPr>
        <b/>
        <sz val="18"/>
        <color theme="1"/>
        <rFont val="Calibri"/>
        <family val="2"/>
      </rPr>
      <t>≤</t>
    </r>
    <r>
      <rPr>
        <b/>
        <sz val="19.8"/>
        <color theme="1"/>
        <rFont val="Calibri"/>
        <family val="2"/>
      </rPr>
      <t xml:space="preserve"> 1.5)</t>
    </r>
    <r>
      <rPr>
        <b/>
        <sz val="18"/>
        <color theme="1"/>
        <rFont val="Calibri"/>
        <family val="2"/>
        <scheme val="minor"/>
      </rPr>
      <t xml:space="preserve"> =</t>
    </r>
  </si>
  <si>
    <t>We need to find the value of 'Z' which corresponds to the cumulative probability of 90%</t>
  </si>
  <si>
    <t xml:space="preserve">The required value of Z = </t>
  </si>
  <si>
    <t>Using NORMSINV</t>
  </si>
  <si>
    <t>We can now use the REVERSE Transform x = μ + z*σ</t>
  </si>
  <si>
    <t>Using NORMINV</t>
  </si>
  <si>
    <t>UNKNOWN</t>
  </si>
  <si>
    <t>Probability that Neetu will not attend any party out 6 parties in which she is invited, is 5.68%.</t>
  </si>
  <si>
    <t>Find the Expected number of parties out of 6 parties that she will attend and the corresponding SD</t>
  </si>
  <si>
    <t>Find the chance that she will attend any party</t>
  </si>
  <si>
    <t>What is the probability that she will attend at least 2 parties out of the mentioned 6 parties</t>
  </si>
  <si>
    <t>Let X be the Random variable describing "the number of parties Neetu may attend" out of 6 mentioned parties in which she is invited</t>
  </si>
  <si>
    <t>Here, X follows Binomial distribution with .</t>
  </si>
  <si>
    <t>Let the probability of attending any party be 'p'</t>
  </si>
  <si>
    <t>It is given that P(X = 0) = 6C0 * p^0 * (1 - p)^6 = 0.0568</t>
  </si>
  <si>
    <t>So, (1 - p)^6 = 0.0568</t>
  </si>
  <si>
    <t xml:space="preserve">(1 - p) = (0.0568)^(1/6) = </t>
  </si>
  <si>
    <t>p = 0.38</t>
  </si>
  <si>
    <r>
      <t xml:space="preserve">Expected value , </t>
    </r>
    <r>
      <rPr>
        <b/>
        <sz val="18"/>
        <color theme="1"/>
        <rFont val="Calibri"/>
        <family val="2"/>
      </rPr>
      <t xml:space="preserve">μ = n*p = 6*0.38 = </t>
    </r>
  </si>
  <si>
    <r>
      <t xml:space="preserve">SD , </t>
    </r>
    <r>
      <rPr>
        <b/>
        <sz val="18"/>
        <color theme="1"/>
        <rFont val="Calibri"/>
        <family val="2"/>
      </rPr>
      <t xml:space="preserve">σ = √n*p*(1 - p) = </t>
    </r>
  </si>
  <si>
    <r>
      <t xml:space="preserve">P(X </t>
    </r>
    <r>
      <rPr>
        <b/>
        <sz val="18"/>
        <color theme="1"/>
        <rFont val="Calibri"/>
        <family val="2"/>
      </rPr>
      <t>≥ 2) = 1 - P(X ≤ 1)</t>
    </r>
  </si>
  <si>
    <t>Acceptance Sampling:</t>
  </si>
  <si>
    <t>A machine produces with 1% defect rate, we pick up 100 items produced, at random.</t>
  </si>
  <si>
    <t>What is the probability of acceptance for the entire consignment, if the rejection criteria is at least 1 defective item in the sample?</t>
  </si>
  <si>
    <t>Let X be the random variable describing no of defective items in the sample</t>
  </si>
  <si>
    <t>P(X = 0)</t>
  </si>
  <si>
    <t>At what level of defect rate, the prob of acceptance rises up to 80%?</t>
  </si>
  <si>
    <t>Algebric approcah:</t>
  </si>
  <si>
    <t>(1 - p)^100 = 0.8</t>
  </si>
  <si>
    <t>p = 0.222%</t>
  </si>
  <si>
    <t>The following table shows Partial PD of X</t>
  </si>
  <si>
    <t>Continuous Probability Distribution</t>
  </si>
  <si>
    <t>Direct Excel command to combine these 2 steps</t>
  </si>
  <si>
    <t>Mean age of a group of consumers of a luxury watch is 36 years and this follows a normal distribtion.</t>
  </si>
  <si>
    <t>Given that only 10% of the consumers are above 50 years.</t>
  </si>
  <si>
    <t>What is the probability that a consumer will be below 25 years of age?</t>
  </si>
  <si>
    <t>What is the probability that a consumer will be between 30 and 40 years of age?</t>
  </si>
  <si>
    <t>What is the probability that a consumer will be above 45 years of age?</t>
  </si>
  <si>
    <t>What is the Benchmark age above which 25% of the consumers will lie?</t>
  </si>
  <si>
    <t>Let X be the Random Variable describing 'the age of the consumer' (in years) for a particular brand of luxury watch</t>
  </si>
  <si>
    <t xml:space="preserve">Here X follows NORMAL Distrbution with </t>
  </si>
  <si>
    <t>It is given that only 10% of the consumers are above 50 years</t>
  </si>
  <si>
    <r>
      <t xml:space="preserve">So, P(X &gt; 50 ) = 10% or in other words P(X </t>
    </r>
    <r>
      <rPr>
        <b/>
        <sz val="18"/>
        <color theme="1"/>
        <rFont val="Calibri"/>
        <family val="2"/>
      </rPr>
      <t>≤ 50) = 1 - 10% = 90%</t>
    </r>
  </si>
  <si>
    <t>The Value of Z, corresponding to 90% cumulative probability, from the Z table</t>
  </si>
  <si>
    <t>Using z = ( x - µ) / σ, we get, z = [( 50 - 36) / σ] = 1.2815516</t>
  </si>
  <si>
    <t>solving, we get,  σ = 10.9243 Years</t>
  </si>
  <si>
    <r>
      <t xml:space="preserve">P(X </t>
    </r>
    <r>
      <rPr>
        <b/>
        <sz val="18"/>
        <color theme="1"/>
        <rFont val="Calibri"/>
        <family val="2"/>
      </rPr>
      <t>≤ 25)</t>
    </r>
  </si>
  <si>
    <r>
      <t xml:space="preserve">As a first step we convert the variable X, into a STANDARD NORMAL Variable z, using z = ( x - </t>
    </r>
    <r>
      <rPr>
        <b/>
        <sz val="18"/>
        <color theme="1"/>
        <rFont val="Calibri"/>
        <family val="2"/>
      </rPr>
      <t>µ) / σ</t>
    </r>
  </si>
  <si>
    <t>so fo x = 25, z = -1.007</t>
  </si>
  <si>
    <r>
      <t xml:space="preserve">P(X </t>
    </r>
    <r>
      <rPr>
        <b/>
        <sz val="18"/>
        <color theme="1"/>
        <rFont val="Calibri"/>
        <family val="2"/>
      </rPr>
      <t>≤ 25) = P(Z ≤ -1.007) =</t>
    </r>
  </si>
  <si>
    <r>
      <t xml:space="preserve">P(30 ≤ X </t>
    </r>
    <r>
      <rPr>
        <b/>
        <sz val="18"/>
        <color theme="1"/>
        <rFont val="Calibri"/>
        <family val="2"/>
      </rPr>
      <t>≤ 40)</t>
    </r>
  </si>
  <si>
    <r>
      <t xml:space="preserve">P(X </t>
    </r>
    <r>
      <rPr>
        <b/>
        <sz val="18"/>
        <color theme="1"/>
        <rFont val="Calibri"/>
        <family val="2"/>
      </rPr>
      <t>≤ 40) - P(X ≤ 30)</t>
    </r>
  </si>
  <si>
    <t>We need to find the value of 'Z' which corresponds to the cumulative probability of 75%</t>
  </si>
  <si>
    <r>
      <t xml:space="preserve">The corresponding value of X = </t>
    </r>
    <r>
      <rPr>
        <b/>
        <sz val="18"/>
        <color theme="1"/>
        <rFont val="Calibri"/>
        <family val="2"/>
      </rPr>
      <t>µ + zσ  = 36 + 0.6745*10.9243 =</t>
    </r>
  </si>
  <si>
    <t>The fill amount of soft drink bottles is normally distributed with a mean of 2.1 litres and a</t>
  </si>
  <si>
    <t>standard deviation of 0.1 litre. Bottles that contain less than 95% of the listed net content (2.0</t>
  </si>
  <si>
    <t>litres in this case) will be rejected by the manufacturer’s quality check. Bottles that contain</t>
  </si>
  <si>
    <t>more than 120% of the listed net content may cause excess spillage upon opening.</t>
  </si>
  <si>
    <t>What is the proportion of soft drink bottles will spill out of the total bottles manufactured? 120% or 2.0 lt  = 2.4 Lt</t>
  </si>
  <si>
    <t xml:space="preserve">What proportion of bottles will be rejected by the manufacturer’s quality check? </t>
  </si>
  <si>
    <t>What proportion of bottles will contain between 1.9L to 2.0 litres?</t>
  </si>
  <si>
    <t>What proportion of bottles will have content more than 2 Lt?</t>
  </si>
  <si>
    <t>Let X be the Random Variable describing 'the volume of the soft drink in the packaged bottle' (in Lt)</t>
  </si>
  <si>
    <r>
      <t>P(X &gt;</t>
    </r>
    <r>
      <rPr>
        <b/>
        <sz val="19.8"/>
        <color theme="1"/>
        <rFont val="Calibri"/>
        <family val="2"/>
      </rPr>
      <t xml:space="preserve"> 2.4) = 1 - P(X ≤ 2.4)</t>
    </r>
    <r>
      <rPr>
        <b/>
        <sz val="18"/>
        <color theme="1"/>
        <rFont val="Calibri"/>
        <family val="2"/>
        <scheme val="minor"/>
      </rPr>
      <t xml:space="preserve"> =</t>
    </r>
  </si>
  <si>
    <t>95% of 2 Lt = 1.9 Lt</t>
  </si>
  <si>
    <t>P(X ≤ 1.9) =</t>
  </si>
  <si>
    <t>P(1.9 ≤ X ≤ 2.0) =</t>
  </si>
  <si>
    <r>
      <t>P(X &gt;</t>
    </r>
    <r>
      <rPr>
        <b/>
        <sz val="19.8"/>
        <color theme="1"/>
        <rFont val="Calibri"/>
        <family val="2"/>
      </rPr>
      <t xml:space="preserve"> 2) = 1 - P(X ≤ 2)</t>
    </r>
    <r>
      <rPr>
        <b/>
        <sz val="18"/>
        <color theme="1"/>
        <rFont val="Calibri"/>
        <family val="2"/>
        <scheme val="minor"/>
      </rPr>
      <t xml:space="preserve"> =</t>
    </r>
  </si>
  <si>
    <t>The Value of Z, corresponding to 87% cumulative probability, from the Z table</t>
  </si>
  <si>
    <t>The Value of Z, corresponding to 6% cumulative probability, from the Z table</t>
  </si>
  <si>
    <t>Solving, we get,</t>
  </si>
  <si>
    <t>Inferential Statistics</t>
  </si>
  <si>
    <t>Sampling Theory</t>
  </si>
  <si>
    <t>Estimation</t>
  </si>
  <si>
    <t>Hypothesis Testing</t>
  </si>
  <si>
    <t>Terminologies:</t>
  </si>
  <si>
    <t>Population:</t>
  </si>
  <si>
    <t>It is the unversal set, containing all the elements under consideration for a statistical survey</t>
  </si>
  <si>
    <t>We want to know about the chracateristics of the Population, so we undertake a survey</t>
  </si>
  <si>
    <t>Population as a term seldom refers to the Demographic population of a region, rather it refers to the "Target Population"</t>
  </si>
  <si>
    <t>Population may refer to the population of animals, bacteria, and inanimate objects as well</t>
  </si>
  <si>
    <t>Sample:</t>
  </si>
  <si>
    <t>Sample is a proper sub set of a population; we draw samples, study them, in order to draw conclusions about the entire population</t>
  </si>
  <si>
    <t xml:space="preserve">Although undertaking a Population survey is the best way to know about the entire population, but because of the following factors, we draw </t>
  </si>
  <si>
    <t>a sample from a population to understand about the population</t>
  </si>
  <si>
    <t>Cost</t>
  </si>
  <si>
    <t>Time</t>
  </si>
  <si>
    <t>Convenience</t>
  </si>
  <si>
    <t>Saving destruction: QC point of view, we draw sample from the manufactured item</t>
  </si>
  <si>
    <t>Please note that Sample survey is a compromise, and we need statistical estimates to conclude abt the population</t>
  </si>
  <si>
    <t>parameters, from sample data</t>
  </si>
  <si>
    <t>Objective of Inferential Statistics:</t>
  </si>
  <si>
    <t>The module of Inferential Statistics (which includes Estimation and Hypothesis Testsing) is the science and art of drawing</t>
  </si>
  <si>
    <t>insights about a Population from Sample(s)</t>
  </si>
  <si>
    <t>The accuracy of the inference depends on the quality of the samples and the sampling technique used.</t>
  </si>
  <si>
    <t>In statistical terms, any sample of size n &gt; 30, is considered as LARGE sample</t>
  </si>
  <si>
    <t xml:space="preserve">Significant Sample: If the sample size is at least 5% of Population size, then we call that sample a significant sample. </t>
  </si>
  <si>
    <t>It does not mean that we have to always go with SIGNIFICANT Samples</t>
  </si>
  <si>
    <t>Sampling Techniques</t>
  </si>
  <si>
    <t xml:space="preserve">Sampling techniques are broadly classified as </t>
  </si>
  <si>
    <t>Random or Probabilistic Sampling</t>
  </si>
  <si>
    <t>Non-Random or Non-Probabilistic Sampling</t>
  </si>
  <si>
    <t xml:space="preserve">Generally used for Large Samples, or comprehensive research (business, consumer, socio-economic, scientific etc), population is </t>
  </si>
  <si>
    <t>geographically spread over a large region, and with high diversity (heterogeniety)</t>
  </si>
  <si>
    <t>Sampling Techniques used in Random sampling:</t>
  </si>
  <si>
    <t>Clustering Technique: The sub-population in the clusters carry the same heterogeniety as the original population</t>
  </si>
  <si>
    <t>Stratification / Segmentation: Each and every stratum is homogenious</t>
  </si>
  <si>
    <t>Simple Random Sampling (SRSWR / SRSWoR)</t>
  </si>
  <si>
    <t>Clustering:</t>
  </si>
  <si>
    <t>Generally as a first step we use GEOGRAPHICAL Clusters which has the same property as of the entire population in terms of Heterogeniety</t>
  </si>
  <si>
    <t>Example, dividing a city into North-South-East-West</t>
  </si>
  <si>
    <t>Stratification:</t>
  </si>
  <si>
    <t>In the next step our effort is focussed at stratifying the cluster sub-populations into homogenious stratum, by classifiying them in terms of</t>
  </si>
  <si>
    <t>AGE, GENDER, INCOME/CONSUMPTION etc</t>
  </si>
  <si>
    <t>Simple Random Sampling: SRSWR /SRSWoR</t>
  </si>
  <si>
    <t>Finally when we have HOMOGENIOUS stratum within a sub population, we can choose our sample elements from them in a random fashion</t>
  </si>
  <si>
    <t>using SRS</t>
  </si>
  <si>
    <t>The number of sample elements drawn form each of this stratum, should be in proportion of their representation in the original population</t>
  </si>
  <si>
    <t>Our objective is to hand craft a sample which carries similar descriptive properties (CT, Dispersion, Skewness, Kurtosis) as the original</t>
  </si>
  <si>
    <t>population, as far as possible</t>
  </si>
  <si>
    <t>Systematic Sampling: Non Chaotic or ordered environment, homogenious population</t>
  </si>
  <si>
    <t>We engage every kth element (k = N/n) of the population</t>
  </si>
  <si>
    <t>This is generally used for small samples, or a small scale pilot study / project or study or research of minimal importance</t>
  </si>
  <si>
    <t>Judgement Sampling</t>
  </si>
  <si>
    <t>Quota Sampling</t>
  </si>
  <si>
    <t xml:space="preserve">Snowball Sampling: Seeding is done uisng SRS. </t>
  </si>
  <si>
    <t>Convenience Sampling</t>
  </si>
  <si>
    <t>Notations:</t>
  </si>
  <si>
    <t>Item</t>
  </si>
  <si>
    <t xml:space="preserve">Population </t>
  </si>
  <si>
    <t>Sample</t>
  </si>
  <si>
    <t>Size</t>
  </si>
  <si>
    <r>
      <t xml:space="preserve">X-Bar or </t>
    </r>
    <r>
      <rPr>
        <b/>
        <sz val="18"/>
        <color theme="1"/>
        <rFont val="Calibri"/>
        <family val="2"/>
      </rPr>
      <t>µ</t>
    </r>
  </si>
  <si>
    <t>x-bar</t>
  </si>
  <si>
    <t>Std Deviation</t>
  </si>
  <si>
    <t xml:space="preserve">s </t>
  </si>
  <si>
    <t>s = √[SUM(x- x-bar)^2]/(n - 1)</t>
  </si>
  <si>
    <t>Unbiased Estimator</t>
  </si>
  <si>
    <t>Proportion</t>
  </si>
  <si>
    <t xml:space="preserve">P </t>
  </si>
  <si>
    <t>Parameter</t>
  </si>
  <si>
    <t>Statistic</t>
  </si>
  <si>
    <t>Sampling Distribution:</t>
  </si>
  <si>
    <t>Consider, that from a population of N, we draw all possible sample of size n, we can draw k samples, where k = NCn</t>
  </si>
  <si>
    <t>We study a specific sample statistic, say Sample Mean from all those k samples (xi-bar, i = 1 to k), and we note down the sample</t>
  </si>
  <si>
    <t>mean values from all those k samples</t>
  </si>
  <si>
    <t>We construct a Freq distn from all those k values of xi-bar, and calculate the relative frequency, which allows us to construct the</t>
  </si>
  <si>
    <t>Probability Distribution of those k values of xi-bar (sample mean values)</t>
  </si>
  <si>
    <t>[Note: since we will approxiamte this Dicrete PD as a Continuous PD, the class interval should be very narrow]</t>
  </si>
  <si>
    <t>This Continuous PD, is called the SAMPLING Distribution of SAMPLE MEAN, in this example.</t>
  </si>
  <si>
    <t>Similarly, we can construct the SAMPLING Distribution of Sample Proportion, or any other relevant sample statistic</t>
  </si>
  <si>
    <t>Very Important property:</t>
  </si>
  <si>
    <t>Sampling Distribution of Sample Mean or sample Proportion, is always a Bell Shaped Curve, and it follows NORMAL Distribution,</t>
  </si>
  <si>
    <t>irrespective of the property of the population or the sample</t>
  </si>
  <si>
    <t>CENTRAL LIMIT THEOREM (CLT):</t>
  </si>
  <si>
    <t>Sampling Distribution of Sample Mean follows NORMAL Distribution, with a mean equal to the population mean and the standard</t>
  </si>
  <si>
    <t>deviation is equal to the population standard deviation divided by the square root of the sample size</t>
  </si>
  <si>
    <r>
      <t>xi-bar follows NORMAL (</t>
    </r>
    <r>
      <rPr>
        <b/>
        <sz val="18"/>
        <color theme="1"/>
        <rFont val="Calibri"/>
        <family val="2"/>
      </rPr>
      <t>μ, σ/√n)</t>
    </r>
  </si>
  <si>
    <t>Sampling Distribution of Sample PROPORTION follows NORMAL Distribution, with a mean equal to the population proportion and the standard</t>
  </si>
  <si>
    <t>deviation is equal to the square root of the product of the population proportion and its compliment divided by the sample size</t>
  </si>
  <si>
    <r>
      <t>p_i follows NORMAL [P</t>
    </r>
    <r>
      <rPr>
        <b/>
        <sz val="18"/>
        <color theme="1"/>
        <rFont val="Calibri"/>
        <family val="2"/>
      </rPr>
      <t>, (√P*(1 - P)/n)]</t>
    </r>
  </si>
  <si>
    <r>
      <t>Please remember that 's' is an unbiased estimator of '</t>
    </r>
    <r>
      <rPr>
        <b/>
        <sz val="18"/>
        <color theme="1"/>
        <rFont val="Calibri"/>
        <family val="2"/>
      </rPr>
      <t>σ', and similarly 'p' is an unbiased estimator of 'P'</t>
    </r>
  </si>
  <si>
    <t>III)</t>
  </si>
  <si>
    <t>What is the chance that a female baby will be expected to survive atleast 60 years?</t>
  </si>
  <si>
    <t>What is the chance that a female baby will be expected to live 70 to 80 years?</t>
  </si>
  <si>
    <t>What is the benchmark life expectancy, upto which 90% of Indian female are expected to live?</t>
  </si>
  <si>
    <t>Life expectancy of Indian female at birth follows a normal distribution with a mean of 73 years and SD of 5 years</t>
  </si>
  <si>
    <t>Let X be the RV describing the life expectancy of Indian Female</t>
  </si>
  <si>
    <t xml:space="preserve">X follows NORMAL Distn with </t>
  </si>
  <si>
    <r>
      <t xml:space="preserve">P(X </t>
    </r>
    <r>
      <rPr>
        <b/>
        <sz val="20"/>
        <color theme="1"/>
        <rFont val="Calibri"/>
        <family val="2"/>
      </rPr>
      <t>≥ 60) = 1- P(X &lt;60)</t>
    </r>
    <r>
      <rPr>
        <b/>
        <sz val="20"/>
        <color theme="1"/>
        <rFont val="Calibri"/>
        <family val="2"/>
        <scheme val="minor"/>
      </rPr>
      <t xml:space="preserve"> = </t>
    </r>
  </si>
  <si>
    <r>
      <t xml:space="preserve">1 - P(Z </t>
    </r>
    <r>
      <rPr>
        <b/>
        <sz val="20"/>
        <color theme="1"/>
        <rFont val="Calibri"/>
        <family val="2"/>
      </rPr>
      <t>≤ -2.6)</t>
    </r>
  </si>
  <si>
    <r>
      <t xml:space="preserve">P(70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X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80) =</t>
    </r>
  </si>
  <si>
    <r>
      <t xml:space="preserve">P(-0.6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Z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1.4)</t>
    </r>
  </si>
  <si>
    <t>Value of z corresponding to 90% cumulative probability, z = 1.28</t>
  </si>
  <si>
    <t xml:space="preserve">Value of X, for Z = 1.28, </t>
  </si>
  <si>
    <t>Direct NORMINV</t>
  </si>
  <si>
    <r>
      <t xml:space="preserve">P(X &gt; 45) = 1 - P(X </t>
    </r>
    <r>
      <rPr>
        <b/>
        <sz val="18"/>
        <color theme="1"/>
        <rFont val="Calibri"/>
        <family val="2"/>
      </rPr>
      <t>≤ 45)</t>
    </r>
    <r>
      <rPr>
        <b/>
        <sz val="18"/>
        <color theme="1"/>
        <rFont val="Calibri"/>
        <family val="2"/>
        <scheme val="minor"/>
      </rPr>
      <t xml:space="preserve"> =</t>
    </r>
  </si>
  <si>
    <t>1 - P(Z ≤ 0.82)</t>
  </si>
  <si>
    <r>
      <t xml:space="preserve">P(Z </t>
    </r>
    <r>
      <rPr>
        <b/>
        <sz val="18"/>
        <color theme="1"/>
        <rFont val="Calibri"/>
        <family val="2"/>
      </rPr>
      <t>≤ 0.37) - P(Z ≤ -0.55)</t>
    </r>
  </si>
  <si>
    <t>So, 75% of the consumers will lie below this benchmark age</t>
  </si>
  <si>
    <t>Compensation paid in an organisation follows NORMAL Distribution. It is observed that there is 13% chance that the compensation</t>
  </si>
  <si>
    <t>What proportion of employees will earn more than INR 25 LPA?</t>
  </si>
  <si>
    <t>What proportion of employees will earn more between INR 10 LPA and INR 20 LPA?</t>
  </si>
  <si>
    <t>What is the benchmark compensation level above which only 20% employee will earn?</t>
  </si>
  <si>
    <r>
      <t xml:space="preserve">So, P(X &gt; 50 ) = 13% or in other words P(X </t>
    </r>
    <r>
      <rPr>
        <b/>
        <sz val="18"/>
        <color theme="1"/>
        <rFont val="Calibri"/>
        <family val="2"/>
      </rPr>
      <t>≤ 50) = 1 - 13% = 87%</t>
    </r>
  </si>
  <si>
    <t>Using z = ( x - µ) / σ, we get, z = [( 50 - µ) / σ] = 1.12639</t>
  </si>
  <si>
    <t>eqn (i)</t>
  </si>
  <si>
    <t>µ + 1.12639σ = 50  …..........</t>
  </si>
  <si>
    <t>It is given that only 13% employees earn more than INR 50 LPA, so 87% are earning less than INR 50 LPA</t>
  </si>
  <si>
    <t>It is given that only 6% employees earn less than INR 5 LPA</t>
  </si>
  <si>
    <r>
      <t xml:space="preserve">So, P(X </t>
    </r>
    <r>
      <rPr>
        <b/>
        <sz val="18"/>
        <color theme="1"/>
        <rFont val="Calibri"/>
        <family val="2"/>
      </rPr>
      <t>≤ 5) = 6%</t>
    </r>
  </si>
  <si>
    <t>Using z = ( x - µ) / σ, we get, z = [(5 - µ) / σ] = -1.55477</t>
  </si>
  <si>
    <t>µ - 1.55477σ = 5 …............</t>
  </si>
  <si>
    <t>eqn (ii)</t>
  </si>
  <si>
    <t>is more than INR 50 Lakhs p.a. and just 6% chance that it is less than INR 5 Lakhs p.a..</t>
  </si>
  <si>
    <t>Let X be the Random Variable describing 'the compensation paid in the mentioned organisation', in INR Lakhs p.a.</t>
  </si>
  <si>
    <t>LPA</t>
  </si>
  <si>
    <t>ESTIMATION:</t>
  </si>
  <si>
    <t>Estimation: It is a statistical technique to construct a numerical understanding of population parameters from sample statistic</t>
  </si>
  <si>
    <t>Estimation are of two types: Point Estimate, Interval Estimate</t>
  </si>
  <si>
    <t>Two Important Terminologies commonly used in Estimation (and Hypothesis Testing)</t>
  </si>
  <si>
    <t>Level of Confidence</t>
  </si>
  <si>
    <r>
      <t>Level of Significance (</t>
    </r>
    <r>
      <rPr>
        <b/>
        <sz val="18"/>
        <color theme="1"/>
        <rFont val="Calibri"/>
        <family val="2"/>
      </rPr>
      <t>α)</t>
    </r>
  </si>
  <si>
    <r>
      <t>Level of Significance (</t>
    </r>
    <r>
      <rPr>
        <b/>
        <sz val="18"/>
        <color theme="1"/>
        <rFont val="Calibri"/>
        <family val="2"/>
      </rPr>
      <t xml:space="preserve">α) </t>
    </r>
    <r>
      <rPr>
        <b/>
        <sz val="18"/>
        <color theme="1"/>
        <rFont val="Calibri"/>
        <family val="2"/>
        <scheme val="minor"/>
      </rPr>
      <t xml:space="preserve"> = 1 - Level of Confidence</t>
    </r>
  </si>
  <si>
    <t>For example if LoS = 5%, then LoC = 95%</t>
  </si>
  <si>
    <t>In all statistical analysis involving Estimation and Hypothesis Testing, commonly used levels of signficance are</t>
  </si>
  <si>
    <t>LoS</t>
  </si>
  <si>
    <t>LoC</t>
  </si>
  <si>
    <t>two Tail z-value</t>
  </si>
  <si>
    <t>±1.645</t>
  </si>
  <si>
    <t>±1.96</t>
  </si>
  <si>
    <t>±2.575</t>
  </si>
  <si>
    <t>On Estimation: Estimation of Population Mean from a Large Sample</t>
  </si>
  <si>
    <t>In order to estimate the average age of the consumers of first time apartment buyer in bangalore, a sample of 500 is drawn</t>
  </si>
  <si>
    <t>The sample mean is 33.2 years and Sample SD is 3.9 years</t>
  </si>
  <si>
    <t>Construct an Interval estimate of the Population Mean using 90% Level of Confidence</t>
  </si>
  <si>
    <t>Summary of Data</t>
  </si>
  <si>
    <t>&gt; 30, Large Sample</t>
  </si>
  <si>
    <t>years</t>
  </si>
  <si>
    <t>s</t>
  </si>
  <si>
    <t>1 - α</t>
  </si>
  <si>
    <r>
      <t xml:space="preserve">Standard Error of Sample Mean, </t>
    </r>
    <r>
      <rPr>
        <b/>
        <sz val="18"/>
        <color theme="1"/>
        <rFont val="Calibri"/>
        <family val="2"/>
      </rPr>
      <t>σ_x-bar = σ / √n = s / √n = 3.9 / √500 = 0.1744</t>
    </r>
  </si>
  <si>
    <t>[Standard Error is actually the Standard Deviation of the Sampling Distribution of Sample Mean]</t>
  </si>
  <si>
    <t>Refer Central Limit Theorem</t>
  </si>
  <si>
    <t>Sample size n &gt; 30, so we wil use 'z' statistic to construct the interval estimate of tge Population Mean</t>
  </si>
  <si>
    <t>[z distribution is nothing but a STANDARD NORMAL distribution with mean = 0 and SD = 1]</t>
  </si>
  <si>
    <t xml:space="preserve">For 90% level of confidence or 10% level of Significance, the pair of values of z, guarding the two tails = </t>
  </si>
  <si>
    <t>±</t>
  </si>
  <si>
    <t>Please note that for 90% level of confidence, we have 5% area under the z-distn curve</t>
  </si>
  <si>
    <t>in each tail. So the positive value of z will carry a cumulative probability of 95% and the</t>
  </si>
  <si>
    <t>negative value of z will carry a cumulative probability of 5%</t>
  </si>
  <si>
    <r>
      <t xml:space="preserve">In general if we have (1 - </t>
    </r>
    <r>
      <rPr>
        <b/>
        <sz val="18"/>
        <color theme="1"/>
        <rFont val="Calibri"/>
        <family val="2"/>
      </rPr>
      <t>α) level of confidence, each tail will contain (α/2) area</t>
    </r>
  </si>
  <si>
    <r>
      <t>So the positive value of z will carry a cumulative probability of [1 - (</t>
    </r>
    <r>
      <rPr>
        <b/>
        <sz val="18"/>
        <color theme="1"/>
        <rFont val="Calibri"/>
        <family val="2"/>
      </rPr>
      <t>α/2)]</t>
    </r>
    <r>
      <rPr>
        <b/>
        <sz val="18"/>
        <color theme="1"/>
        <rFont val="Calibri"/>
        <family val="2"/>
        <scheme val="minor"/>
      </rPr>
      <t xml:space="preserve"> and the</t>
    </r>
  </si>
  <si>
    <r>
      <t>negative value of z will carry a cumulative probability of (</t>
    </r>
    <r>
      <rPr>
        <b/>
        <sz val="18"/>
        <color theme="1"/>
        <rFont val="Calibri"/>
        <family val="2"/>
      </rPr>
      <t>α/2)</t>
    </r>
  </si>
  <si>
    <r>
      <t xml:space="preserve">Sampling Error = z*Standrad Error = z*σ_x-bar = </t>
    </r>
    <r>
      <rPr>
        <b/>
        <sz val="18"/>
        <color theme="1"/>
        <rFont val="Calibri"/>
        <family val="2"/>
      </rPr>
      <t>± 1.645*0.1744 = ±</t>
    </r>
  </si>
  <si>
    <t>Step 5</t>
  </si>
  <si>
    <t xml:space="preserve">Sample mean is the BEST UNBIASED ESTIMATOR of the population mean. </t>
  </si>
  <si>
    <r>
      <t xml:space="preserve">Point Estimate of Population Mean, </t>
    </r>
    <r>
      <rPr>
        <b/>
        <sz val="18"/>
        <color theme="1"/>
        <rFont val="Calibri"/>
        <family val="2"/>
      </rPr>
      <t>μ = Sample Mean , x-bar = 33.2</t>
    </r>
  </si>
  <si>
    <t>The Interval estimate of population mean will be based on the sample mean</t>
  </si>
  <si>
    <t>μ-cap = x-bar ± sampling error = 33.2 ± 0.2869 = (32.9131, 33.4869)</t>
  </si>
  <si>
    <t>Conclusion: The population mean of the age of first time apartment buyers will be within 32.91 years and 33.49 years</t>
  </si>
  <si>
    <t>Estimation of Population Mean from a SMALL Sample</t>
  </si>
  <si>
    <t>In order to estimate the average expenditure of households on Broadband in bangalore, a sample of 25 households is drawn</t>
  </si>
  <si>
    <t>The sample mean is Rs. 1012.50 per month and the sample SD is Rs. 450.25</t>
  </si>
  <si>
    <t>Construct an Interval estimate of the Population Mean using 95% Level of Confidence</t>
  </si>
  <si>
    <t>&lt; 30, small sample</t>
  </si>
  <si>
    <t>Rupees</t>
  </si>
  <si>
    <r>
      <t xml:space="preserve">Standard Error of Sample Mean, </t>
    </r>
    <r>
      <rPr>
        <b/>
        <sz val="18"/>
        <color theme="1"/>
        <rFont val="Calibri"/>
        <family val="2"/>
      </rPr>
      <t>σ_x-bar = σ / √n = s / √n = 450.25 / √25 = 90.05</t>
    </r>
  </si>
  <si>
    <r>
      <t xml:space="preserve">Sample size n </t>
    </r>
    <r>
      <rPr>
        <b/>
        <sz val="18"/>
        <color theme="1"/>
        <rFont val="Calibri"/>
        <family val="2"/>
      </rPr>
      <t>≤</t>
    </r>
    <r>
      <rPr>
        <b/>
        <sz val="18"/>
        <color theme="1"/>
        <rFont val="Calibri"/>
        <family val="2"/>
        <scheme val="minor"/>
      </rPr>
      <t xml:space="preserve"> 30, so we wil use 't' statistic to construct the interval estimate</t>
    </r>
  </si>
  <si>
    <t>t distribuion (Refer William Gosset (The student)), is a bell shaped distribution different from z distn, works better for small samples</t>
  </si>
  <si>
    <t>To read the t-values for a given cumulative probability (or vice -versa), we also need to know the DEGREE of FREEDOM (n - 1)</t>
  </si>
  <si>
    <r>
      <t xml:space="preserve">For 95% level of confidence or 5% level of Significance and (n - 1)= 24 degrees of freedom,the value of t = </t>
    </r>
    <r>
      <rPr>
        <b/>
        <sz val="18"/>
        <color theme="1"/>
        <rFont val="Calibri"/>
        <family val="2"/>
      </rPr>
      <t>±</t>
    </r>
  </si>
  <si>
    <t>[NOTE: LoS is nothing but the the combined area of both the Tails]</t>
  </si>
  <si>
    <t>Using T.INV</t>
  </si>
  <si>
    <r>
      <t xml:space="preserve">Sampling Error = t*σ_x-bar = </t>
    </r>
    <r>
      <rPr>
        <b/>
        <sz val="18"/>
        <color theme="1"/>
        <rFont val="Calibri"/>
        <family val="2"/>
      </rPr>
      <t>± 2.064 *90.05 = ±</t>
    </r>
  </si>
  <si>
    <r>
      <t xml:space="preserve">Point Estimate of Population Mean, </t>
    </r>
    <r>
      <rPr>
        <b/>
        <sz val="18"/>
        <color theme="1"/>
        <rFont val="Calibri"/>
        <family val="2"/>
      </rPr>
      <t>μ = Sample Mean , x-bar = 1012.50</t>
    </r>
  </si>
  <si>
    <t>μ-cap = Sample Mean (x-bar) ± Sampling Error = 1012.50 ± 185.85 = (826.65, 1198.35)</t>
  </si>
  <si>
    <t>Estimation of Population PROPORTION from a SMALL Sample</t>
  </si>
  <si>
    <t>In order to estimate the proportion of teachers with a PhD degree among all college teachers in Bangalore, a sample of 26 is drawn</t>
  </si>
  <si>
    <t>It is noted that only 10 of them have completed PhD.</t>
  </si>
  <si>
    <t>Construct an Interval estimate of the Population Proportion using 99% Level of Confidence</t>
  </si>
  <si>
    <r>
      <t xml:space="preserve">Standard Error of Sample Proportion, </t>
    </r>
    <r>
      <rPr>
        <b/>
        <sz val="18"/>
        <color theme="1"/>
        <rFont val="Calibri"/>
        <family val="2"/>
      </rPr>
      <t>σ_p = √[P*(1-P)/n] = √[p*(1-p)/n] = √[0.3846*(1-0.3846)/26] = 0.0954</t>
    </r>
  </si>
  <si>
    <t>[Standard Error is actually the Standard Deviation of the Sampling Distribution of Sample Proportion]</t>
  </si>
  <si>
    <t>Please Refer CLT for Sampling Distribution of Sample Proportion</t>
  </si>
  <si>
    <t>Please als note that Sample proportion p, is the unbiased estimator of Population Proportion P</t>
  </si>
  <si>
    <r>
      <t xml:space="preserve">For 99% level of confidence or 1% level of Significance, and 25 degrees of freedom the value of t = </t>
    </r>
    <r>
      <rPr>
        <b/>
        <sz val="18"/>
        <color theme="1"/>
        <rFont val="Calibri"/>
        <family val="2"/>
      </rPr>
      <t>±</t>
    </r>
  </si>
  <si>
    <t>using T.INV</t>
  </si>
  <si>
    <r>
      <t xml:space="preserve">Sampling Error = t*σ_p = </t>
    </r>
    <r>
      <rPr>
        <b/>
        <sz val="18"/>
        <color theme="1"/>
        <rFont val="Calibri"/>
        <family val="2"/>
      </rPr>
      <t>± 2.787*0.0954 = ±</t>
    </r>
  </si>
  <si>
    <r>
      <t xml:space="preserve">The Interval Estimate of the Population Proportion, P-cap = Sample Proportion </t>
    </r>
    <r>
      <rPr>
        <b/>
        <sz val="18"/>
        <color theme="1"/>
        <rFont val="Calibri"/>
        <family val="2"/>
      </rPr>
      <t xml:space="preserve">± The Sampling Error = </t>
    </r>
    <r>
      <rPr>
        <b/>
        <sz val="18"/>
        <color theme="1"/>
        <rFont val="Calibri"/>
        <family val="2"/>
        <scheme val="minor"/>
      </rPr>
      <t xml:space="preserve">p </t>
    </r>
    <r>
      <rPr>
        <b/>
        <sz val="18"/>
        <color theme="1"/>
        <rFont val="Calibri"/>
        <family val="2"/>
      </rPr>
      <t xml:space="preserve">± t*σ_p </t>
    </r>
  </si>
  <si>
    <t>Estimation of Population PROPORTION from a LARGE Sample</t>
  </si>
  <si>
    <t>In order to estimate the proportion of users of a certain brand recently launched, a sample of 300 is drawn.</t>
  </si>
  <si>
    <t>107 of them have mentioned that they are already using the brand.</t>
  </si>
  <si>
    <t>Construct an Interval estimate of the Population Proportion using 95% Level of Confidence</t>
  </si>
  <si>
    <r>
      <t xml:space="preserve">Standard Error of Sample Proportion, </t>
    </r>
    <r>
      <rPr>
        <b/>
        <sz val="18"/>
        <color theme="1"/>
        <rFont val="Calibri"/>
        <family val="2"/>
      </rPr>
      <t xml:space="preserve">σ_p = √[P*(1-P)/n] = √[p*(1-p)/n] = √[0.3567*(1-0.3567)/300] = 0.0277 </t>
    </r>
  </si>
  <si>
    <t>Sample size n &gt; 30, so we wil use 'z' statistic to construct the interval estimate</t>
  </si>
  <si>
    <t xml:space="preserve">For 95% level of confidence or 5% level of Significance, the value of z = </t>
  </si>
  <si>
    <r>
      <t xml:space="preserve">Sampling Error = z*σ_p = </t>
    </r>
    <r>
      <rPr>
        <b/>
        <sz val="18"/>
        <color theme="1"/>
        <rFont val="Calibri"/>
        <family val="2"/>
      </rPr>
      <t>± 1.96*0.0277 = ±</t>
    </r>
  </si>
  <si>
    <t>Interpretation: Among the target segment population, around 30% to 41% people are already using the brand</t>
  </si>
  <si>
    <t>Construct an Interval estimate of Population Proportion from the following data:</t>
  </si>
  <si>
    <r>
      <t xml:space="preserve">Standard Error of Sample Proportion, </t>
    </r>
    <r>
      <rPr>
        <b/>
        <sz val="18"/>
        <color theme="1"/>
        <rFont val="Calibri"/>
        <family val="2"/>
      </rPr>
      <t>σ_p = √[P*(1-P)/n] = √[p*(1-p)/n] = √[0.3*(1-0.3)/15] = 0.1183</t>
    </r>
  </si>
  <si>
    <t xml:space="preserve">For 90% level of confidence or 10% level of Significance, 14 df, the value of t = </t>
  </si>
  <si>
    <r>
      <t xml:space="preserve">Sampling Error = t*σ_p = </t>
    </r>
    <r>
      <rPr>
        <b/>
        <sz val="18"/>
        <color theme="1"/>
        <rFont val="Calibri"/>
        <family val="2"/>
      </rPr>
      <t>± 1.761*0.1183 = ±</t>
    </r>
  </si>
  <si>
    <r>
      <t xml:space="preserve">The Interval Estimate of the Population Proportion = Sample Proportion </t>
    </r>
    <r>
      <rPr>
        <b/>
        <sz val="18"/>
        <color theme="1"/>
        <rFont val="Calibri"/>
        <family val="2"/>
      </rPr>
      <t xml:space="preserve">± The Sampling Error = </t>
    </r>
    <r>
      <rPr>
        <b/>
        <sz val="18"/>
        <color theme="1"/>
        <rFont val="Calibri"/>
        <family val="2"/>
        <scheme val="minor"/>
      </rPr>
      <t xml:space="preserve">p </t>
    </r>
    <r>
      <rPr>
        <b/>
        <sz val="18"/>
        <color theme="1"/>
        <rFont val="Calibri"/>
        <family val="2"/>
      </rPr>
      <t xml:space="preserve">± t*σ_p </t>
    </r>
  </si>
  <si>
    <r>
      <t xml:space="preserve">The Interval Estimate of the Population Proportion [= Sample Proportion </t>
    </r>
    <r>
      <rPr>
        <b/>
        <sz val="18"/>
        <color theme="1"/>
        <rFont val="Calibri"/>
        <family val="2"/>
      </rPr>
      <t xml:space="preserve">± The Sampling Error = </t>
    </r>
    <r>
      <rPr>
        <b/>
        <sz val="18"/>
        <color theme="1"/>
        <rFont val="Calibri"/>
        <family val="2"/>
        <scheme val="minor"/>
      </rPr>
      <t xml:space="preserve">p </t>
    </r>
    <r>
      <rPr>
        <b/>
        <sz val="18"/>
        <color theme="1"/>
        <rFont val="Calibri"/>
        <family val="2"/>
      </rPr>
      <t>± z*σ_p]</t>
    </r>
  </si>
  <si>
    <t>is given as</t>
  </si>
  <si>
    <t>Find the sample size if LoC used to construct the interval estimate is 99%. Assume that it was a Large Sample</t>
  </si>
  <si>
    <r>
      <t xml:space="preserve">From the given interval estimate, we can conclude that the sample proportion p = 60%, and the sampling error, z*σ_p = </t>
    </r>
    <r>
      <rPr>
        <b/>
        <sz val="18"/>
        <color theme="1"/>
        <rFont val="Calibri"/>
        <family val="2"/>
      </rPr>
      <t>±</t>
    </r>
    <r>
      <rPr>
        <b/>
        <sz val="18"/>
        <color theme="1"/>
        <rFont val="Calibri"/>
        <family val="2"/>
        <scheme val="minor"/>
      </rPr>
      <t xml:space="preserve">10.3% </t>
    </r>
  </si>
  <si>
    <t>Interval Estimate = Sample Proportion ± The Sampling Error</t>
  </si>
  <si>
    <t xml:space="preserve">p + z*σ_p = </t>
  </si>
  <si>
    <t>p -  z*σ_p =</t>
  </si>
  <si>
    <t>Solving we get, p = 0.60, z*σ_p = 0.103</t>
  </si>
  <si>
    <t>Let us assume that the sample used in this case is a large sample (n &gt; 30)</t>
  </si>
  <si>
    <t xml:space="preserve">For 1% LOS or 99% LOC, the critical value of z = </t>
  </si>
  <si>
    <r>
      <t xml:space="preserve">Standard Error of Sample Proportion, </t>
    </r>
    <r>
      <rPr>
        <b/>
        <sz val="18"/>
        <color theme="1"/>
        <rFont val="Calibri"/>
        <family val="2"/>
      </rPr>
      <t>σ_p = (0.103/2.5758)</t>
    </r>
  </si>
  <si>
    <r>
      <t xml:space="preserve">Standard Error of Sample Proportion, </t>
    </r>
    <r>
      <rPr>
        <b/>
        <sz val="18"/>
        <color theme="1"/>
        <rFont val="Calibri"/>
        <family val="2"/>
      </rPr>
      <t>σ_p = √[P*(1-P)/n] = √[p*(1-p)/n] = 0.04, where p = 0.6</t>
    </r>
  </si>
  <si>
    <t>Solving we get, n= 150</t>
  </si>
  <si>
    <t>Testing of hypothesis is a statistical process in which a belief of a researcher (data scientist) is tested using sample data</t>
  </si>
  <si>
    <t>At the end the NULL HYPOTHESIS is either accepted or rejected</t>
  </si>
  <si>
    <t xml:space="preserve">The belief is not based on pure blind assumption, it is rather based on historical data / circumstantial evidence or based on the experience </t>
  </si>
  <si>
    <t>of the data scientist, or may be the previous benchmark</t>
  </si>
  <si>
    <t>Hypothesis Testing can be broadly classified into TWO Types</t>
  </si>
  <si>
    <t>Parametric Hypothesis Testing</t>
  </si>
  <si>
    <t>Non-Parametric Hypothesis Testing</t>
  </si>
  <si>
    <t>One Sample z test and t-test</t>
  </si>
  <si>
    <t>Two sample z test and t test (Using Independent and Dependent Samples)</t>
  </si>
  <si>
    <t>Comparing Population Mean of 3 or more populations using 3 or more samples using ANOVA and F Test</t>
  </si>
  <si>
    <t>Testing the Significance of Regression (Bi-Variate or Multi Variate) using ANOVA and F Test</t>
  </si>
  <si>
    <t xml:space="preserve">Chi-Square Test </t>
  </si>
  <si>
    <t>Testing for Independence of two population parameters</t>
  </si>
  <si>
    <t>Testing for "Goodness of Fit"</t>
  </si>
  <si>
    <t>Mann-Whitney U test</t>
  </si>
  <si>
    <t>Kruskal-Walis Test</t>
  </si>
  <si>
    <t>Cox-Wlison Test</t>
  </si>
  <si>
    <t>Kolmogodov Smirnov (K-S) Test</t>
  </si>
  <si>
    <t>Run Test</t>
  </si>
  <si>
    <t>Paired Sign Test</t>
  </si>
  <si>
    <t>Spearman's Rank Correlation Test</t>
  </si>
  <si>
    <t>Testing for Population Mean</t>
  </si>
  <si>
    <t>Testing For Population Proportion</t>
  </si>
  <si>
    <t xml:space="preserve">Average age during marriage of all the girls who got married in last 5 years in Rural Rajasthan and Haryana, is believed to </t>
  </si>
  <si>
    <t>be 16 years. An independent agency conducted a survey with a sample size of 500, and the sample mean is 14.7 years</t>
  </si>
  <si>
    <t>with a sample SD of 2.9 Years.</t>
  </si>
  <si>
    <t>At 10% LoS, construct a pair of hypotheses and test the same</t>
  </si>
  <si>
    <t>Average age during marriage of all the girls who got married in last 5 years in Rural Rajasthan and Haryana is 16 years</t>
  </si>
  <si>
    <t>H0: µ = 16                               [HINT: if there is an "=" symbol, it will be a TWO TAIL test]</t>
  </si>
  <si>
    <t>ALTERNATE Hypothesis (H1 or Ha):</t>
  </si>
  <si>
    <t>Average age during marriage of all the girls who got married in last 5 years in Rural Rajasthan and Haryana is NOT 16 years</t>
  </si>
  <si>
    <t>H1: µ ≠ 16</t>
  </si>
  <si>
    <t>Summary of data:</t>
  </si>
  <si>
    <r>
      <t xml:space="preserve">(1 - </t>
    </r>
    <r>
      <rPr>
        <b/>
        <sz val="18"/>
        <color theme="1"/>
        <rFont val="Calibri"/>
        <family val="2"/>
      </rPr>
      <t>α)</t>
    </r>
  </si>
  <si>
    <r>
      <t xml:space="preserve">Standard Error of Sample Mean, </t>
    </r>
    <r>
      <rPr>
        <b/>
        <sz val="18"/>
        <color theme="1"/>
        <rFont val="Calibri"/>
        <family val="2"/>
      </rPr>
      <t>σ_x-bar = σ / √n  = s / √n = 2.9 / √500 = 0.1297</t>
    </r>
  </si>
  <si>
    <t>Here n &gt; 30, so we will use a z statistic to test the hypothesis</t>
  </si>
  <si>
    <t xml:space="preserve">For 90% level of confidence, Critical value of z = </t>
  </si>
  <si>
    <t>Using Standardised Testing Procedure:</t>
  </si>
  <si>
    <r>
      <t xml:space="preserve">Standardised Value of z statistic, z_standardised = [(x-bar - </t>
    </r>
    <r>
      <rPr>
        <b/>
        <sz val="18"/>
        <color theme="1"/>
        <rFont val="Calibri"/>
        <family val="2"/>
      </rPr>
      <t xml:space="preserve">µ)/σ_x-bar] = (14.7 - 16)/0.1297 = </t>
    </r>
  </si>
  <si>
    <t>Step 6</t>
  </si>
  <si>
    <r>
      <t>The standardised value of z statistic (-10.02) is falling on the LEFT TAIL of the confidence interval (</t>
    </r>
    <r>
      <rPr>
        <b/>
        <sz val="18"/>
        <color theme="1"/>
        <rFont val="Calibri"/>
        <family val="2"/>
      </rPr>
      <t>± 1.645)</t>
    </r>
  </si>
  <si>
    <t>This was a TWO TAIL TEST , with both left and right tail as the AREA of REJECTION</t>
  </si>
  <si>
    <t>So, we REJECT the NULL HYPOTHESIS and ACCEPT the ALTERNATE HYPOTHESIS</t>
  </si>
  <si>
    <t>Ex 1 (a)</t>
  </si>
  <si>
    <t>Now in the same question if we tweak the NULL Hypothesis slightly and say that</t>
  </si>
  <si>
    <t xml:space="preserve">NULL Hypothesis (H0): Average age during marriage of all the girls who got married in last 5 years in Rural </t>
  </si>
  <si>
    <t>Rajasthan and Haryana, is NOT less than 16 years</t>
  </si>
  <si>
    <t>µ ≥ 16                            [HINT: if there is an inequality symbol in H0, it will be a ONE TAIL Test]</t>
  </si>
  <si>
    <t xml:space="preserve">ALTERNATE Hypothesis (H1): Average age during marriage of all the girls who got married in last 5 years in Rural </t>
  </si>
  <si>
    <t>Rajasthan and Haryana, is LESS THAN 16 years</t>
  </si>
  <si>
    <t>µ &lt; 16</t>
  </si>
  <si>
    <t>Now, this becomes a ONE TAIL Test, with the LEFT TAIL as the AREA of REJECTION, and right tail is not shaded, it is kept white</t>
  </si>
  <si>
    <r>
      <t>So, in this case, the entire Level of Significance (</t>
    </r>
    <r>
      <rPr>
        <b/>
        <sz val="20"/>
        <color theme="1"/>
        <rFont val="Calibri"/>
        <family val="2"/>
      </rPr>
      <t>α = 10%) will be considered in the LEFT TAIL</t>
    </r>
  </si>
  <si>
    <t>For 10% area in the left tail (as the area of rejection)</t>
  </si>
  <si>
    <t>Here the critical value of z</t>
  </si>
  <si>
    <t>So, if the standardised value of z is LESS than (-1.2815), we reject the NULL hypothesis. Please note that in this case</t>
  </si>
  <si>
    <t>even if the z value is more than +1.282, we still continue to accept the NULL hypothesis</t>
  </si>
  <si>
    <t>The NULL hypothesis is Rejected because the Standardised Z stat (-10.02), is still on left tail of this ONE Tail Test</t>
  </si>
  <si>
    <t>Concept of p-value:</t>
  </si>
  <si>
    <t>p-value is the area beyond the standardised z-value (or standardised t value for a t-test), under the z-distribution curve (or t-distn curve)</t>
  </si>
  <si>
    <t>p-value may be imagined in one tail or in two tail, as the case may be.</t>
  </si>
  <si>
    <t>In this example, the area on the left side of -10.02, is the ONE Tail p-value and if we add the area on the left of -10.02 and on the right</t>
  </si>
  <si>
    <t>of +10.02, we get the TWO TAIL p-value</t>
  </si>
  <si>
    <t>Standardised z-value</t>
  </si>
  <si>
    <t>One tail p-value</t>
  </si>
  <si>
    <t>Two tail p-value</t>
  </si>
  <si>
    <t>(-10.02)</t>
  </si>
  <si>
    <t>Why p-value is important?</t>
  </si>
  <si>
    <r>
      <t>If we know the p-value (one tail or two tail), then we can directly compare it with the LoS (</t>
    </r>
    <r>
      <rPr>
        <b/>
        <sz val="18"/>
        <color theme="1"/>
        <rFont val="Calibri"/>
        <family val="2"/>
      </rPr>
      <t>α), and conclude whether</t>
    </r>
  </si>
  <si>
    <t>the NULL Hypothesis is Accepted or Rejected.</t>
  </si>
  <si>
    <r>
      <t xml:space="preserve">So the rule is if, p-value &lt; </t>
    </r>
    <r>
      <rPr>
        <b/>
        <sz val="18"/>
        <color theme="1"/>
        <rFont val="Calibri"/>
        <family val="2"/>
      </rPr>
      <t>α, then we REJECT H0</t>
    </r>
  </si>
  <si>
    <r>
      <t xml:space="preserve">And if p-value &gt; </t>
    </r>
    <r>
      <rPr>
        <b/>
        <sz val="18"/>
        <color theme="1"/>
        <rFont val="Calibri"/>
        <family val="2"/>
      </rPr>
      <t>α the  we ACCEPT the H0</t>
    </r>
  </si>
  <si>
    <r>
      <t xml:space="preserve">For One-tail test we compare </t>
    </r>
    <r>
      <rPr>
        <b/>
        <sz val="18"/>
        <color theme="1"/>
        <rFont val="Calibri"/>
        <family val="2"/>
      </rPr>
      <t>α with one tail p-value,  and if it is Two-tail test, we compare it with two-tail p-value</t>
    </r>
  </si>
  <si>
    <r>
      <t xml:space="preserve">The Interval Estimate of the Population Proportion = Sample Proportion </t>
    </r>
    <r>
      <rPr>
        <b/>
        <sz val="18"/>
        <color theme="1"/>
        <rFont val="Calibri"/>
        <family val="2"/>
      </rPr>
      <t xml:space="preserve">± The Sampling Error = </t>
    </r>
    <r>
      <rPr>
        <b/>
        <sz val="18"/>
        <color theme="1"/>
        <rFont val="Calibri"/>
        <family val="2"/>
        <scheme val="minor"/>
      </rPr>
      <t xml:space="preserve">p </t>
    </r>
    <r>
      <rPr>
        <b/>
        <sz val="18"/>
        <color theme="1"/>
        <rFont val="Calibri"/>
        <family val="2"/>
      </rPr>
      <t xml:space="preserve">± z*σ_p </t>
    </r>
  </si>
  <si>
    <t>Symbol in the H0 / H1</t>
  </si>
  <si>
    <t>Test Type</t>
  </si>
  <si>
    <t>Area of Rejection</t>
  </si>
  <si>
    <t>Area of Acceptance of H0</t>
  </si>
  <si>
    <t>=</t>
  </si>
  <si>
    <t>TWO TAIL</t>
  </si>
  <si>
    <t>Either Tail</t>
  </si>
  <si>
    <t>Only the Confidence Interval</t>
  </si>
  <si>
    <r>
      <t xml:space="preserve">&gt; or </t>
    </r>
    <r>
      <rPr>
        <b/>
        <sz val="18"/>
        <color theme="1"/>
        <rFont val="Calibri"/>
        <family val="2"/>
      </rPr>
      <t>≥</t>
    </r>
  </si>
  <si>
    <t>ONE TAIL</t>
  </si>
  <si>
    <t>LEFT TAIL</t>
  </si>
  <si>
    <t>Confidence Interval + RIGHT TAIL</t>
  </si>
  <si>
    <r>
      <t xml:space="preserve">&lt; or </t>
    </r>
    <r>
      <rPr>
        <b/>
        <sz val="18"/>
        <color theme="1"/>
        <rFont val="Calibri"/>
        <family val="2"/>
      </rPr>
      <t>≤</t>
    </r>
  </si>
  <si>
    <t>RIGHT TAIL</t>
  </si>
  <si>
    <t>Confidence Interval + LEFT TAIL</t>
  </si>
  <si>
    <t>Y</t>
  </si>
  <si>
    <r>
      <t xml:space="preserve">This is a ONE TAIL test, entire LoS, </t>
    </r>
    <r>
      <rPr>
        <b/>
        <sz val="18"/>
        <color theme="1"/>
        <rFont val="Calibri"/>
        <family val="2"/>
      </rPr>
      <t>α</t>
    </r>
    <r>
      <rPr>
        <b/>
        <sz val="18"/>
        <color theme="1"/>
        <rFont val="Calibri"/>
        <family val="2"/>
        <scheme val="minor"/>
      </rPr>
      <t xml:space="preserve"> = 10% will be in the left tail</t>
    </r>
  </si>
  <si>
    <r>
      <t xml:space="preserve">For 90% level of confidence (streteched upto + </t>
    </r>
    <r>
      <rPr>
        <b/>
        <sz val="18"/>
        <color theme="1"/>
        <rFont val="Calibri"/>
        <family val="2"/>
      </rPr>
      <t>∞</t>
    </r>
    <r>
      <rPr>
        <b/>
        <sz val="18"/>
        <color theme="1"/>
        <rFont val="Calibri"/>
        <family val="2"/>
        <scheme val="minor"/>
      </rPr>
      <t xml:space="preserve">), Critical value of z = </t>
    </r>
  </si>
  <si>
    <t xml:space="preserve">The standardised value of z statistic (-10.02) is falling on the LEFT TAIL </t>
  </si>
  <si>
    <t>This was a ONE TAIL TEST , with ony the LEFT tail as the AREA of REJECTION</t>
  </si>
  <si>
    <t>Karnataka Govt believed that the proportion of PhD qualified professors in govt colleges is at least 40%.</t>
  </si>
  <si>
    <t>A sample of 27 is drawn, and only 8 of them is found to be PhD. Construct a pair of hypotheses and test the hypothesis at 1% LoS.</t>
  </si>
  <si>
    <t>Note:</t>
  </si>
  <si>
    <t>[This is testing for Population Proportion, It is a ONE Tail t-Test, LEFT TAIL is the AREA of REJECTION]</t>
  </si>
  <si>
    <t>NULL Hypothesis (H0): The proportion of professors with PhD degree, in all Govt Colleges in Karnataka, is NOT Less than 40%</t>
  </si>
  <si>
    <t>P ≥ 40%                         [HINT: if there is an inequality symbol in H0 or H1, it will be a one tail Test]</t>
  </si>
  <si>
    <t>ALTERNATE Hypothesis (H1): The proportion of professors with PhD Degree, in all Govt Colleges in Karnataka, is Less than 40%</t>
  </si>
  <si>
    <t xml:space="preserve">P &lt; 40%   </t>
  </si>
  <si>
    <r>
      <t xml:space="preserve">Standard Error of Sample proportion, </t>
    </r>
    <r>
      <rPr>
        <b/>
        <sz val="18"/>
        <color theme="1"/>
        <rFont val="Calibri"/>
        <family val="2"/>
      </rPr>
      <t>σ_p = √[P*(1-P)/n] = √[p*(1-p)/n] = 0.0878</t>
    </r>
  </si>
  <si>
    <t>Here n &lt; 30, so we will use a t statistic to test the hypothesis</t>
  </si>
  <si>
    <r>
      <t xml:space="preserve">This is a one tail test with the LEFT Tail as the area of rejection, so the entire </t>
    </r>
    <r>
      <rPr>
        <b/>
        <sz val="18"/>
        <color theme="1"/>
        <rFont val="Calibri"/>
        <family val="2"/>
      </rPr>
      <t>α = 1%, will come on the LEFT Tail</t>
    </r>
  </si>
  <si>
    <t xml:space="preserve">For 1% level of significance and (n-1) = 26 df, t_critical = </t>
  </si>
  <si>
    <r>
      <t>Standardised Value of t statistic, t_standardised = (p - P</t>
    </r>
    <r>
      <rPr>
        <b/>
        <sz val="18"/>
        <color theme="1"/>
        <rFont val="Calibri"/>
        <family val="2"/>
      </rPr>
      <t>)/σ_p = (0.2963 - 0.40)/0.0878 = -1.18</t>
    </r>
  </si>
  <si>
    <r>
      <t>The standardised value of t statistic (-1.18) is falling within the critical limit (t &gt; -2.479</t>
    </r>
    <r>
      <rPr>
        <b/>
        <sz val="18"/>
        <color theme="1"/>
        <rFont val="Calibri"/>
        <family val="2"/>
      </rPr>
      <t>)</t>
    </r>
  </si>
  <si>
    <t>This was a ONE TAIL TEST , with the left tail as the AREA of REJECTION</t>
  </si>
  <si>
    <t>So we accept the NULL Hypothesis, and REJECT the Alternate Hypothesis</t>
  </si>
  <si>
    <t>Standardised t-value</t>
  </si>
  <si>
    <t>&gt; 1%</t>
  </si>
  <si>
    <r>
      <t xml:space="preserve">Here the  p-value is greater than the value of </t>
    </r>
    <r>
      <rPr>
        <b/>
        <sz val="18"/>
        <color theme="1"/>
        <rFont val="Calibri"/>
        <family val="2"/>
      </rPr>
      <t>α (1%), so we ACCEPT H0</t>
    </r>
  </si>
  <si>
    <t>Testing for Population Proportion</t>
  </si>
  <si>
    <t>P (H0)</t>
  </si>
  <si>
    <t>&lt; 10%</t>
  </si>
  <si>
    <r>
      <t xml:space="preserve">This is a ONE TAIL test, with the RIGHT Tail as the area of rejection, with entire </t>
    </r>
    <r>
      <rPr>
        <b/>
        <sz val="18"/>
        <color theme="1"/>
        <rFont val="Calibri"/>
        <family val="2"/>
      </rPr>
      <t>α = 5% area will come in the right tail</t>
    </r>
  </si>
  <si>
    <r>
      <t xml:space="preserve">Standard Error of Sample Proportion, </t>
    </r>
    <r>
      <rPr>
        <b/>
        <sz val="18"/>
        <color theme="1"/>
        <rFont val="Calibri"/>
        <family val="2"/>
      </rPr>
      <t>σ_p = √[P*(1-P)/n] = √[p*(1-p)/n] = √[0.12*(1-0.12)/150] = 0.0265</t>
    </r>
  </si>
  <si>
    <r>
      <t xml:space="preserve">This is a one tail test with the RIGHT TAIL as the area of rejection. So the entire </t>
    </r>
    <r>
      <rPr>
        <b/>
        <sz val="18"/>
        <color theme="1"/>
        <rFont val="Calibri"/>
        <family val="2"/>
      </rPr>
      <t>α = 5%, will come in the RIGHT TAIL</t>
    </r>
  </si>
  <si>
    <t xml:space="preserve">For 95% level of confidence, Critical value of z = </t>
  </si>
  <si>
    <r>
      <t>Standardised Value of z statistic, z_standardised = [(p - P</t>
    </r>
    <r>
      <rPr>
        <b/>
        <sz val="18"/>
        <color theme="1"/>
        <rFont val="Calibri"/>
        <family val="2"/>
      </rPr>
      <t>)/σ_p] = (0.12 - 0.10)/0..0265 = 0.7538</t>
    </r>
  </si>
  <si>
    <r>
      <t xml:space="preserve">The standardised value of z statistic (0.7538) is falling within the confidence interval (&lt; </t>
    </r>
    <r>
      <rPr>
        <b/>
        <sz val="18"/>
        <color theme="1"/>
        <rFont val="Calibri"/>
        <family val="2"/>
      </rPr>
      <t>1.645)</t>
    </r>
  </si>
  <si>
    <t>This was a ONE TAIL TEST , with the right tail as the AREA of REJECTION</t>
  </si>
  <si>
    <t>So, we ACCEPT the NULL HYPOTHESIS and REJECT the ALTERNATE HYPOTHESIS</t>
  </si>
  <si>
    <r>
      <t xml:space="preserve">&gt; </t>
    </r>
    <r>
      <rPr>
        <b/>
        <sz val="18"/>
        <color theme="1"/>
        <rFont val="Calibri"/>
        <family val="2"/>
      </rPr>
      <t>α = 5%</t>
    </r>
  </si>
  <si>
    <r>
      <t xml:space="preserve">Here the  p-value is greater than the value of </t>
    </r>
    <r>
      <rPr>
        <b/>
        <sz val="18"/>
        <color theme="1"/>
        <rFont val="Calibri"/>
        <family val="2"/>
      </rPr>
      <t>α (5%), so we ACCEPT H0</t>
    </r>
  </si>
  <si>
    <t>Testing for Population MEAN</t>
  </si>
  <si>
    <r>
      <rPr>
        <b/>
        <sz val="18"/>
        <color theme="1"/>
        <rFont val="Calibri"/>
        <family val="2"/>
      </rPr>
      <t>µ</t>
    </r>
    <r>
      <rPr>
        <b/>
        <sz val="18"/>
        <color theme="1"/>
        <rFont val="Calibri"/>
        <family val="2"/>
        <scheme val="minor"/>
      </rPr>
      <t xml:space="preserve"> (H0) &gt;</t>
    </r>
  </si>
  <si>
    <t>NOTE:</t>
  </si>
  <si>
    <t>This is a ONE TAIL t-test, with the LEFT Tail as the area of rejection, entire 5% will be on the left tail</t>
  </si>
  <si>
    <r>
      <t xml:space="preserve">Standard Error of Sample Mean, </t>
    </r>
    <r>
      <rPr>
        <b/>
        <sz val="18"/>
        <color theme="1"/>
        <rFont val="Calibri"/>
        <family val="2"/>
      </rPr>
      <t>σ_x-bar = σ / √n  = s / √n = 3.9 / √22 =</t>
    </r>
  </si>
  <si>
    <r>
      <t xml:space="preserve">This is a one tail test with the LEFT Tail as the area of rejection, so the entire </t>
    </r>
    <r>
      <rPr>
        <b/>
        <sz val="18"/>
        <color theme="1"/>
        <rFont val="Calibri"/>
        <family val="2"/>
      </rPr>
      <t>α = 5%, will come on the LEFT Tail</t>
    </r>
  </si>
  <si>
    <t xml:space="preserve">For 5% level of significance and (n - 1) = 21 df, t = </t>
  </si>
  <si>
    <r>
      <t xml:space="preserve">Standardised Value of t statistic, t_standardised = (x-bar - </t>
    </r>
    <r>
      <rPr>
        <b/>
        <sz val="18"/>
        <color theme="1"/>
        <rFont val="Calibri"/>
        <family val="2"/>
      </rPr>
      <t>μ)/σ_x-bar = (33.6 - 35)/0.8315 = -1.683</t>
    </r>
  </si>
  <si>
    <r>
      <t>The standardised value of t stat (-1.683) is falling within the critical limit (t &gt; -1.7207</t>
    </r>
    <r>
      <rPr>
        <b/>
        <sz val="18"/>
        <color theme="1"/>
        <rFont val="Calibri"/>
        <family val="2"/>
      </rPr>
      <t>)</t>
    </r>
  </si>
  <si>
    <t>So we ACCEPT the NULL Hypothesis, and REJECT the Alternate Hypothesis</t>
  </si>
  <si>
    <t>&gt; 5%</t>
  </si>
  <si>
    <r>
      <t xml:space="preserve">This was a ONE-TAIL Test, Here one tail p-value is greater than the value of </t>
    </r>
    <r>
      <rPr>
        <b/>
        <sz val="18"/>
        <color theme="1"/>
        <rFont val="Calibri"/>
        <family val="2"/>
      </rPr>
      <t>α = 5%. So we ACCEPT H0</t>
    </r>
  </si>
  <si>
    <t>It is believed the average age of a convicted juvenile criminal is at least 17 years. From NCB data, a sample of 750 is drawn</t>
  </si>
  <si>
    <t>the sample mean is found to be 16.6 years and the sample variance is 1.9 years.</t>
  </si>
  <si>
    <t>Construct the suitable pair of hypothesis and test the same at 10% LoS. Also find the relevant p-values</t>
  </si>
  <si>
    <t>Average age of a convicted juvenile criminal is NOT LESS THEN 17 years</t>
  </si>
  <si>
    <t>H0: µ ≥ 17                           [HINT: if there is an "≥" symbol in H0, it will be a ONE TAIL test]</t>
  </si>
  <si>
    <t>Average age of a convicted juvenile criminal is LESS THEN 17 years</t>
  </si>
  <si>
    <t>H1: µ &lt; 17</t>
  </si>
  <si>
    <t>s^2</t>
  </si>
  <si>
    <r>
      <t xml:space="preserve">Standard Error of Sample Mean, </t>
    </r>
    <r>
      <rPr>
        <b/>
        <sz val="18"/>
        <color theme="1"/>
        <rFont val="Calibri"/>
        <family val="2"/>
      </rPr>
      <t>σ_x-bar = σ / √n  = s / √n = 1.9 / √750 =</t>
    </r>
  </si>
  <si>
    <r>
      <t xml:space="preserve">This is a ONE TAIL Test with the LEFT tail as the area of rejection, the entire </t>
    </r>
    <r>
      <rPr>
        <b/>
        <sz val="18"/>
        <color theme="1"/>
        <rFont val="Calibri"/>
        <family val="2"/>
      </rPr>
      <t>α = 10% will come in the LEFT TAIL</t>
    </r>
  </si>
  <si>
    <t xml:space="preserve">For 10% level of significace, Critical value of z = </t>
  </si>
  <si>
    <r>
      <t xml:space="preserve">Standardised Value of z statistic, z_standardised = [(x-bar - </t>
    </r>
    <r>
      <rPr>
        <b/>
        <sz val="18"/>
        <color theme="1"/>
        <rFont val="Calibri"/>
        <family val="2"/>
      </rPr>
      <t xml:space="preserve">µ)/σ_x-bar] = (16.6 - 17)/0.05033 = </t>
    </r>
  </si>
  <si>
    <t>The standardised value of z statistic (-7.947) is falling on the LEFT TAIL of the critical limit (&gt; -1.28155)</t>
  </si>
  <si>
    <t>Concept of TYPE I and TYPE II Error</t>
  </si>
  <si>
    <t>Type I Error</t>
  </si>
  <si>
    <t>Error when we REJECT a NULL Hypothesis which is actually TRUE</t>
  </si>
  <si>
    <t>Type II Error</t>
  </si>
  <si>
    <t>Error when we ACCEPT a NULL Hypothesis which is actually FALSE</t>
  </si>
  <si>
    <r>
      <t>The Level of Significance (</t>
    </r>
    <r>
      <rPr>
        <b/>
        <sz val="20"/>
        <color theme="1"/>
        <rFont val="Calibri"/>
        <family val="2"/>
      </rPr>
      <t>α) influences</t>
    </r>
    <r>
      <rPr>
        <b/>
        <sz val="20"/>
        <color theme="1"/>
        <rFont val="Calibri"/>
        <family val="2"/>
        <scheme val="minor"/>
      </rPr>
      <t xml:space="preserve"> the probability of committing a TYPE I Error</t>
    </r>
  </si>
  <si>
    <t>Higher the LoS, higher the probability of rejecting a Hypothesis, and so higher the probability of committing TYPE I error</t>
  </si>
  <si>
    <r>
      <t xml:space="preserve">The Level of Confidence (1 - </t>
    </r>
    <r>
      <rPr>
        <b/>
        <sz val="20"/>
        <color theme="1"/>
        <rFont val="Calibri"/>
        <family val="2"/>
      </rPr>
      <t>α)</t>
    </r>
    <r>
      <rPr>
        <b/>
        <sz val="20"/>
        <color theme="1"/>
        <rFont val="Calibri"/>
        <family val="2"/>
        <scheme val="minor"/>
      </rPr>
      <t xml:space="preserve"> influence the probability of committing a TYPE II Error</t>
    </r>
  </si>
  <si>
    <t>Higher the LoC, higher the probability of Accepting a Hypothesis, and so higher the probability of committing TYPE II error</t>
  </si>
  <si>
    <t>Level of Significance</t>
  </si>
  <si>
    <t>Probability of Type I Error</t>
  </si>
  <si>
    <t>Probability of Type II Error</t>
  </si>
  <si>
    <t>Power of a Test:</t>
  </si>
  <si>
    <t xml:space="preserve">The statistical power of a binary hypothesis test is the probability that the test correctly rejects the null hypothesis ( H0) when a </t>
  </si>
  <si>
    <t xml:space="preserve">specific alternative hypothesis (H1) is true. It is commonly denoted by  (1 - β), and represents the chances of a "true positive" detection </t>
  </si>
  <si>
    <t xml:space="preserve">conditional on the actual existence of an effect to detect. Statistical power ranges from 0 to 1, and as the power of a test increases, the </t>
  </si>
  <si>
    <t>probability β of making a type II error by wrongly failing to reject the null hypothesis decreases.</t>
  </si>
  <si>
    <r>
      <t xml:space="preserve">In simple word, the Power of a Test (1 - </t>
    </r>
    <r>
      <rPr>
        <b/>
        <sz val="18"/>
        <color theme="1"/>
        <rFont val="Calibri"/>
        <family val="2"/>
      </rPr>
      <t>β)</t>
    </r>
    <r>
      <rPr>
        <b/>
        <sz val="18"/>
        <color theme="1"/>
        <rFont val="Calibri"/>
        <family val="2"/>
        <scheme val="minor"/>
      </rPr>
      <t xml:space="preserve"> is the Probability that the test will be able to reject the H0, given that the H0 is FALSE</t>
    </r>
  </si>
  <si>
    <t>β is the probability of committing TYPE II Error, or the probability of ACCEPTING H0, given that it is FALSE</t>
  </si>
  <si>
    <t>β and also (1 - β) are conditional probabilities</t>
  </si>
  <si>
    <t>Non Parametric Test</t>
  </si>
  <si>
    <t>Testing for Independence of two abstract or qualitative population parameters</t>
  </si>
  <si>
    <t xml:space="preserve">The NULL and the Alternative Hypothesis Statement in Chi Sq Test will be just a qualitative statement, involving two abstract population </t>
  </si>
  <si>
    <t>parameters</t>
  </si>
  <si>
    <t>A survey was conducted among high school students regarding their choice of career. The following data is collated</t>
  </si>
  <si>
    <t>Science and Technology</t>
  </si>
  <si>
    <t>Commerce and Management</t>
  </si>
  <si>
    <t>Humanities</t>
  </si>
  <si>
    <t>Others</t>
  </si>
  <si>
    <t xml:space="preserve">Male </t>
  </si>
  <si>
    <t>Female</t>
  </si>
  <si>
    <r>
      <t xml:space="preserve">2 </t>
    </r>
    <r>
      <rPr>
        <b/>
        <sz val="18"/>
        <color theme="1"/>
        <rFont val="Calibri"/>
        <family val="2"/>
      </rPr>
      <t>× 4 contingency matrix</t>
    </r>
  </si>
  <si>
    <r>
      <t>At 5% LoS (</t>
    </r>
    <r>
      <rPr>
        <b/>
        <sz val="18"/>
        <color theme="1"/>
        <rFont val="Calibri"/>
        <family val="2"/>
      </rPr>
      <t>α</t>
    </r>
    <r>
      <rPr>
        <b/>
        <sz val="18"/>
        <color theme="1"/>
        <rFont val="Calibri"/>
        <family val="2"/>
        <scheme val="minor"/>
      </rPr>
      <t>), do you believe that career choice of a student is influenced by the gender?</t>
    </r>
  </si>
  <si>
    <t>NULL HYPOTHESIS (H0): Career choice of the high school students is independent of their gender</t>
  </si>
  <si>
    <t>Alternate HYPOTHESIS (H1): Career choice of the high school students is dependent on their gender</t>
  </si>
  <si>
    <t>Step 2:</t>
  </si>
  <si>
    <t>Find the Row-Total, Column-Total and the Grand total</t>
  </si>
  <si>
    <t>Commerce</t>
  </si>
  <si>
    <t>Row Total</t>
  </si>
  <si>
    <t>Column Total</t>
  </si>
  <si>
    <t>For Chi square test to be significant, total sample size should be at least 50, and the observed frequency in any sub category</t>
  </si>
  <si>
    <t>should be at least 5.</t>
  </si>
  <si>
    <t>Computation of the Observed Value of the Chi Square Statistic:</t>
  </si>
  <si>
    <t>Row-Col Position</t>
  </si>
  <si>
    <t>Observed Frequency (fo)</t>
  </si>
  <si>
    <t>Expected Frequency, fe = (RT*CT)/GT</t>
  </si>
  <si>
    <t>[(fo - fe)^2] / fe</t>
  </si>
  <si>
    <t>1-1</t>
  </si>
  <si>
    <t>1-2</t>
  </si>
  <si>
    <t>1-3</t>
  </si>
  <si>
    <t>1-4</t>
  </si>
  <si>
    <t>2-1</t>
  </si>
  <si>
    <t>2-2</t>
  </si>
  <si>
    <t>2-3</t>
  </si>
  <si>
    <t>2-4</t>
  </si>
  <si>
    <r>
      <t xml:space="preserve">Therefore, the observed value of Chi Square Statistic, </t>
    </r>
    <r>
      <rPr>
        <b/>
        <sz val="18"/>
        <color theme="1"/>
        <rFont val="Calibri"/>
        <family val="2"/>
      </rPr>
      <t>∑[(fo - fe)^2]/fe</t>
    </r>
    <r>
      <rPr>
        <b/>
        <sz val="18"/>
        <color theme="1"/>
        <rFont val="Calibri"/>
        <family val="2"/>
        <scheme val="minor"/>
      </rPr>
      <t xml:space="preserve"> = 319.02</t>
    </r>
  </si>
  <si>
    <r>
      <t xml:space="preserve">The critical value of Chi Square Statistic for 5% level of significance and (R-1) </t>
    </r>
    <r>
      <rPr>
        <b/>
        <sz val="18"/>
        <color theme="1"/>
        <rFont val="Calibri"/>
        <family val="2"/>
      </rPr>
      <t>×</t>
    </r>
    <r>
      <rPr>
        <b/>
        <sz val="18"/>
        <color theme="1"/>
        <rFont val="Calibri"/>
        <family val="2"/>
        <scheme val="minor"/>
      </rPr>
      <t xml:space="preserve"> (C-1) = 1 </t>
    </r>
    <r>
      <rPr>
        <b/>
        <sz val="18"/>
        <color theme="1"/>
        <rFont val="Calibri"/>
        <family val="2"/>
      </rPr>
      <t>×</t>
    </r>
    <r>
      <rPr>
        <b/>
        <sz val="18"/>
        <color theme="1"/>
        <rFont val="Calibri"/>
        <family val="2"/>
        <scheme val="minor"/>
      </rPr>
      <t xml:space="preserve"> 3 =  3 degrees of freedom,</t>
    </r>
  </si>
  <si>
    <t>Where R = number of Rows = 2, and C = Number of Columns = 4</t>
  </si>
  <si>
    <t xml:space="preserve">Critical Value of Chi-Square Statistic = </t>
  </si>
  <si>
    <t>From Chi-Sq Table</t>
  </si>
  <si>
    <t>using CHIINV</t>
  </si>
  <si>
    <t>Using CHISQ.INV</t>
  </si>
  <si>
    <t>The observed value (319.02) is more than the critical value of Chi Square Statistic (7.815), so we REJECT the NULL Hypothesis</t>
  </si>
  <si>
    <t>and ACCEPT the Alternate Hypothesis.</t>
  </si>
  <si>
    <t>We conclude that, the career choice of the high school students is dependent on their gender</t>
  </si>
  <si>
    <t>Significance Chi-Square or the p-value: p-value in this case is the area on the right side of the observed Chi-Sq value</t>
  </si>
  <si>
    <t>Significance Chi-sq or the p-value:</t>
  </si>
  <si>
    <t>Using CHIDIST</t>
  </si>
  <si>
    <t>Significance Chi-square value is &lt; 5%, we REJECT H0</t>
  </si>
  <si>
    <t>A random sample of ladies across the country was interviewed regarding their preference over having a partner who is more intelligent                                </t>
  </si>
  <si>
    <t xml:space="preserve">or otherwise. The response of the ladies are categorised into three categories for the desirable level of intelligence in their partners: </t>
  </si>
  <si>
    <t>less intelligence, similar intelligence and having a greater intelligence.     </t>
  </si>
  <si>
    <t>                                       </t>
  </si>
  <si>
    <t>Desirable intelligence level in their partner</t>
  </si>
  <si>
    <t>Socio-geographical background of the ladies</t>
  </si>
  <si>
    <t>Lesser intelligence</t>
  </si>
  <si>
    <t>Similar intelligence</t>
  </si>
  <si>
    <t>Greater intelligence</t>
  </si>
  <si>
    <t>Urban</t>
  </si>
  <si>
    <t xml:space="preserve">Do these data provide adequate evidence at 5% level of significance to indicate that the preference for a certain level of intelligence of </t>
  </si>
  <si>
    <t>the partner is related to the socio-geographical background of a lady?</t>
  </si>
  <si>
    <t xml:space="preserve">NULL HYPOTHESIS: Preference for a certain level of intelligence of the partner is INDEPENDENT of the socio-geographical background </t>
  </si>
  <si>
    <t>of a lady</t>
  </si>
  <si>
    <t xml:space="preserve">Alternate HYPOTHESIS: Preference for a certain level of intelligence of the partner is DEPENDENT on the socio-geographical </t>
  </si>
  <si>
    <t>background of a lady</t>
  </si>
  <si>
    <t>Computation of the Observed Value of the Chi Square Statistic</t>
  </si>
  <si>
    <r>
      <t xml:space="preserve">Therefore, the observed value of Chi Square Statistic, </t>
    </r>
    <r>
      <rPr>
        <b/>
        <sz val="18"/>
        <color theme="1"/>
        <rFont val="Calibri"/>
        <family val="2"/>
      </rPr>
      <t>∑[(fo - fe)^2]/fe</t>
    </r>
    <r>
      <rPr>
        <b/>
        <sz val="18"/>
        <color theme="1"/>
        <rFont val="Calibri"/>
        <family val="2"/>
        <scheme val="minor"/>
      </rPr>
      <t xml:space="preserve"> = 10.522</t>
    </r>
  </si>
  <si>
    <t>The critical value of Chi Square Statistic fr 5% level of significance and (R-1)*(C-1) = 2 degrees of freedom,</t>
  </si>
  <si>
    <t>Where R = number of Rows = 2, and C = Number of Columns = 3</t>
  </si>
  <si>
    <t>The observed value (10.522) is more than the critical value of Chi Square Statistic (5.991), so we REJECT the NULL Hypothesis</t>
  </si>
  <si>
    <t>We conclude that, preference for a certain level of intelligence of the partner is DEPENDENT on the socio-geographical background of a lady</t>
  </si>
  <si>
    <t>So we REJECT H0</t>
  </si>
  <si>
    <t>So, the preference for a certain level of intelligence of the partner is DEPENDENT on the socio-geographical background of a lady</t>
  </si>
  <si>
    <t>Population in '000</t>
  </si>
  <si>
    <t>High School</t>
  </si>
  <si>
    <t>Graduation</t>
  </si>
  <si>
    <t>Organised Labour Market</t>
  </si>
  <si>
    <t>Male</t>
  </si>
  <si>
    <t>At 5% LoS, do you believe that rate of labour market particpation in the total population, depends on gender?</t>
  </si>
  <si>
    <t>NULL HYPOTHESIS (H0): Participation in different levels of education and career is independent of their gender</t>
  </si>
  <si>
    <t>Alternate HYPOTHESIS (H1): Participation in different levels of education and career is dependent on their gender</t>
  </si>
  <si>
    <t>Participation at different levels of the career</t>
  </si>
  <si>
    <r>
      <t xml:space="preserve">Therefore, the observed value of Chi Square Statistic, </t>
    </r>
    <r>
      <rPr>
        <b/>
        <sz val="18"/>
        <color theme="1"/>
        <rFont val="Calibri"/>
        <family val="2"/>
      </rPr>
      <t>∑[(fo - fe)^2]/fe</t>
    </r>
    <r>
      <rPr>
        <b/>
        <sz val="18"/>
        <color theme="1"/>
        <rFont val="Calibri"/>
        <family val="2"/>
        <scheme val="minor"/>
      </rPr>
      <t xml:space="preserve"> = 5260.014</t>
    </r>
  </si>
  <si>
    <t>The observed value (5260.014) is more than the critical value of Chi Square Statistic (5.991), so we REJECT the NULL Hypothesis</t>
  </si>
  <si>
    <t>We conclude that, Participation in different levels of education and career is dependent on their gender</t>
  </si>
  <si>
    <t>GOODNESS of FIT Test</t>
  </si>
  <si>
    <t>This test is performed to check whether a given set of raw data, follows a particular Theoretical Probability Distn or NOT</t>
  </si>
  <si>
    <t>This is essentially a Chi Sq Test</t>
  </si>
  <si>
    <t>Minm</t>
  </si>
  <si>
    <t xml:space="preserve">  Frequency</t>
  </si>
  <si>
    <t>Class rep</t>
  </si>
  <si>
    <t>STEP 1</t>
  </si>
  <si>
    <t>NULL HYPOTHESIS (H0):</t>
  </si>
  <si>
    <t>The given data follows NORMAL Distribution with a mean of 548.867 and a Standard Deviation of 21.725</t>
  </si>
  <si>
    <t>ALTERNATE HYPOTHESIS (H1):</t>
  </si>
  <si>
    <t>The given data does NOT follow NORMAL Distribution [with a mean of 548.87 and a Standard Deviation of 21.72]</t>
  </si>
  <si>
    <t xml:space="preserve">Expected Frequency, fe </t>
  </si>
  <si>
    <r>
      <t xml:space="preserve">Therefore, the observed value of Chi Square Statistic, </t>
    </r>
    <r>
      <rPr>
        <b/>
        <sz val="18"/>
        <color theme="1"/>
        <rFont val="Calibri"/>
        <family val="2"/>
      </rPr>
      <t>∑[(fo - fe)^2]/fe</t>
    </r>
    <r>
      <rPr>
        <b/>
        <sz val="18"/>
        <color theme="1"/>
        <rFont val="Calibri"/>
        <family val="2"/>
        <scheme val="minor"/>
      </rPr>
      <t xml:space="preserve"> = 25.2868</t>
    </r>
  </si>
  <si>
    <t>The critical value of Chi Square Statistic for 5% level of significance and n - 1 = 19 degrees of freedom,</t>
  </si>
  <si>
    <t xml:space="preserve">Where n = number of Rows </t>
  </si>
  <si>
    <t xml:space="preserve">Critical chi-Square = </t>
  </si>
  <si>
    <t>The observed value (25.2868) is LESS than the critical value of Chi Square Statistic (30.1435), so we ACCEPT the NULL Hypothesis</t>
  </si>
  <si>
    <t>and REJECT the Alternate Hypothesis.</t>
  </si>
  <si>
    <t>We concude that, the given data follows NORMAL Distribution with a mean of 548.87 and a Standard Deviation of 21.72</t>
  </si>
  <si>
    <t>Significance Chi-Sq</t>
  </si>
  <si>
    <t>ACCEPT H0</t>
  </si>
  <si>
    <t>Recruitment data from Campus drives, where for the sake of simplicity we assumed that in each case 20 students were shortlisted</t>
  </si>
  <si>
    <t>for the assessment rounds</t>
  </si>
  <si>
    <t>Campus</t>
  </si>
  <si>
    <t xml:space="preserve"> Number of Shortlisted candidates</t>
  </si>
  <si>
    <t xml:space="preserve"> Number of Successful Candidates</t>
  </si>
  <si>
    <t>The number of successful candidates follow BINOMIAL Distribution with 20 trials in each case and with a probability of success of 15%</t>
  </si>
  <si>
    <t>ALTERNATE HYPOTHESIS (H0):</t>
  </si>
  <si>
    <t xml:space="preserve">The number of successful candidates do not follow follow BINOMIAL Distribution [with 20 trials in each case and with a probability of </t>
  </si>
  <si>
    <t>success of 15%]</t>
  </si>
  <si>
    <t>Number of successful candidates, X</t>
  </si>
  <si>
    <t>Expected Frequency, (fe)</t>
  </si>
  <si>
    <r>
      <t xml:space="preserve">Therefore, the observed value of Chi Square Statistic, </t>
    </r>
    <r>
      <rPr>
        <b/>
        <sz val="18"/>
        <color theme="1"/>
        <rFont val="Calibri"/>
        <family val="2"/>
      </rPr>
      <t>∑[(fo - fe)^2]/fe</t>
    </r>
    <r>
      <rPr>
        <b/>
        <sz val="18"/>
        <color theme="1"/>
        <rFont val="Calibri"/>
        <family val="2"/>
        <scheme val="minor"/>
      </rPr>
      <t xml:space="preserve"> = 7.1812</t>
    </r>
  </si>
  <si>
    <t>The critical value of Chi Square Statistic for 5% level of significance and n - 1 = 20 degrees of freedom,</t>
  </si>
  <si>
    <t xml:space="preserve">Critical Chi-Square value (5%, 20) = </t>
  </si>
  <si>
    <t>The observed value (7.1812) is LESS than the critical value of Chi Square Statistic (31.4104), so we ACCEPT the NULL Hypothesis</t>
  </si>
  <si>
    <t xml:space="preserve">We concude that, the number of successful candidates follow BINOMIAL Distribution with 20 trials in each case and with a probability </t>
  </si>
  <si>
    <t>of success of 15%</t>
  </si>
  <si>
    <t>&lt; 70%</t>
  </si>
  <si>
    <t>Standard error, σ_p</t>
  </si>
  <si>
    <t>z critical (One Tail test, RIGHT tail as the area of rejection)</t>
  </si>
  <si>
    <t>Standardised z</t>
  </si>
  <si>
    <t>one tail p-value</t>
  </si>
  <si>
    <t>So we REJECT the NULL Hypothesis, and ACCEPT the Alternate Hypothesis</t>
  </si>
  <si>
    <t>Testing for Population proportion, using Large sample n &gt; 30, so it is a z-test</t>
  </si>
  <si>
    <r>
      <t xml:space="preserve">It is a One Tail Test, with the RIGHT tail as the area of rejection, and entire </t>
    </r>
    <r>
      <rPr>
        <b/>
        <sz val="18"/>
        <color theme="1"/>
        <rFont val="Calibri"/>
        <family val="2"/>
      </rPr>
      <t>α = 1% area will come in the RIGHT Tail</t>
    </r>
  </si>
  <si>
    <r>
      <rPr>
        <b/>
        <sz val="18"/>
        <color theme="1"/>
        <rFont val="Calibri"/>
        <family val="2"/>
      </rPr>
      <t>µ</t>
    </r>
    <r>
      <rPr>
        <b/>
        <sz val="18"/>
        <color theme="1"/>
        <rFont val="Calibri"/>
        <family val="2"/>
        <scheme val="minor"/>
      </rPr>
      <t xml:space="preserve"> (H0) &lt;</t>
    </r>
  </si>
  <si>
    <t>Standard error, σ_x-bar</t>
  </si>
  <si>
    <t xml:space="preserve">z critical (one Tail test) </t>
  </si>
  <si>
    <t>ONE tail p-value</t>
  </si>
  <si>
    <t>&gt; 10%</t>
  </si>
  <si>
    <t>Testing for Population MEAN, using LARGE sample (n &gt; 30), so it is a z-test</t>
  </si>
  <si>
    <r>
      <t xml:space="preserve">It is a ONE Tail Test, with the RIGHT tail as the area of rejection, and the entire </t>
    </r>
    <r>
      <rPr>
        <b/>
        <sz val="18"/>
        <color theme="1"/>
        <rFont val="Calibri"/>
        <family val="2"/>
      </rPr>
      <t>α = 10% area come in the RIGHT Tail</t>
    </r>
  </si>
  <si>
    <t>&lt; 1%</t>
  </si>
  <si>
    <t>Using CHISQ.DIST.RT</t>
  </si>
  <si>
    <t>We draw one sample each from these populations and compare the population mean values using the sample mean values</t>
  </si>
  <si>
    <t>The samples drawn are called INDEPENDENT Samples, they are drawn at the same point of time from different populations</t>
  </si>
  <si>
    <t>Average Monthly Exp in fine-dining experience is measured and compared across 4 metro cities, using independnet samples</t>
  </si>
  <si>
    <t>The final collated data is given below</t>
  </si>
  <si>
    <t>FGD Samples:</t>
  </si>
  <si>
    <t>Delhi NCR</t>
  </si>
  <si>
    <t>Mumbai and Greater Mumbai</t>
  </si>
  <si>
    <t>Chennai</t>
  </si>
  <si>
    <t>Kolkata</t>
  </si>
  <si>
    <t>Sample size</t>
  </si>
  <si>
    <t>Sample Mean (Rs./month)</t>
  </si>
  <si>
    <t>Sample SD (Rs./month)</t>
  </si>
  <si>
    <t>At 5% LoS, do you believe that the average expenditure in fine dining, in the relevant target population are equal in thses four cities?</t>
  </si>
  <si>
    <t>The average expenditure in fine dining, in the relevant target population are NOT SIGNIFICANTLY DIFFERENT in thses four cities</t>
  </si>
  <si>
    <t>H0: µ1 = µ2 = µ3  = µ4</t>
  </si>
  <si>
    <t>The average expenditure in fine dining, in the relevant target population are SIGNIFICANTLY DIFFERENT in thses four cities</t>
  </si>
  <si>
    <t>H1: µ1 ≠ µ2 ≠ µ3 ≠ µ4</t>
  </si>
  <si>
    <t>Computation of Sample Mean values, Sample Variance, and the Grand Mean value</t>
  </si>
  <si>
    <t>Mumabi and Greater Mumbai</t>
  </si>
  <si>
    <t>Sample size, ni</t>
  </si>
  <si>
    <t>Sample Mean, xi-bar (Rs./month)</t>
  </si>
  <si>
    <t>Sample SD, si (Rs./month)</t>
  </si>
  <si>
    <t>Sample Variance (Rs./month)^2, (s_i)^2</t>
  </si>
  <si>
    <t>Grand Mean (x-double bar)</t>
  </si>
  <si>
    <t>SUM(ni*xi-bar) / SUM(ni)</t>
  </si>
  <si>
    <r>
      <t>Computation of Between Column (or Between group) Variance, (</t>
    </r>
    <r>
      <rPr>
        <b/>
        <sz val="18"/>
        <color theme="1"/>
        <rFont val="Calibri"/>
        <family val="2"/>
      </rPr>
      <t>σ_b)^2 :</t>
    </r>
  </si>
  <si>
    <t>(σ_b)^2 = SUM[ni * (xi-bar - x-double bar)^2] / (k - 1)</t>
  </si>
  <si>
    <t>Where xi-bar are the sample mean values, x-double bar is the Grand mean, k is the number of samples or no of groups, here k = 4</t>
  </si>
  <si>
    <t>ni are the sample sizes</t>
  </si>
  <si>
    <t>ni</t>
  </si>
  <si>
    <t>xi-bar</t>
  </si>
  <si>
    <t>(xi-bar - x-double bar)^2</t>
  </si>
  <si>
    <t>ni*(xi-bar - x-double bar)^2</t>
  </si>
  <si>
    <t xml:space="preserve">(σ_b)^2 = SUM[ni * (xi-bar - x-double bar)^2] / (k - 1) = 16259000 / (4-1) = </t>
  </si>
  <si>
    <r>
      <t>Computation of Within Column (or Within Group) Variance, (</t>
    </r>
    <r>
      <rPr>
        <b/>
        <sz val="18"/>
        <color theme="1"/>
        <rFont val="Calibri"/>
        <family val="2"/>
      </rPr>
      <t>σ_w)^2 :</t>
    </r>
  </si>
  <si>
    <t>(σ_w)^2 = SUM[(ni - 1) * (s^2)] / [SUM(ni) - k]</t>
  </si>
  <si>
    <t>(ni - 1)</t>
  </si>
  <si>
    <t>Sample Variance, si^2</t>
  </si>
  <si>
    <t>(ni - 1) * (s^2)</t>
  </si>
  <si>
    <t>(σ_w)^2 = SUM[(ni - 1) * (s^2)] / [SUM(ni) - k] = 43537500 / (40 - 4) =</t>
  </si>
  <si>
    <t>The observed value of the F Statistic = (σ_b)^2 / (σ_w)^2 = 5419666.6667 / 1209375</t>
  </si>
  <si>
    <t xml:space="preserve">The corresponding critical value of F-Statistic, at 5% level of siginifcance, (k - 1) = 3 degrees of freedom in the numerator (df1) </t>
  </si>
  <si>
    <t>and [SUM(ni) - k] = 36 degrees of freedom in the denominator (df2),</t>
  </si>
  <si>
    <t>Interpolating between the F-Statistic values for df2=30 and df2 = 40, we get</t>
  </si>
  <si>
    <t xml:space="preserve">The critical value of F (5%, 3, 36) = </t>
  </si>
  <si>
    <t>2.8387 + (4/10)*(2.9223 - 2.8387)</t>
  </si>
  <si>
    <t>From F-Table</t>
  </si>
  <si>
    <t xml:space="preserve">F_Critical (5%,3,36) = </t>
  </si>
  <si>
    <t>The observed value of F Statistic (4.4814) is MORE than the critical value of F statistic (2.8663) (Refer the diagram shown above)</t>
  </si>
  <si>
    <t>Significance F or the p-value:</t>
  </si>
  <si>
    <r>
      <t xml:space="preserve">&lt; </t>
    </r>
    <r>
      <rPr>
        <b/>
        <sz val="18"/>
        <color theme="1"/>
        <rFont val="Calibri"/>
        <family val="2"/>
      </rPr>
      <t>α =</t>
    </r>
    <r>
      <rPr>
        <b/>
        <sz val="18"/>
        <color theme="1"/>
        <rFont val="Calibri"/>
        <family val="2"/>
        <scheme val="minor"/>
      </rPr>
      <t xml:space="preserve"> 5%, REJECT H0</t>
    </r>
  </si>
  <si>
    <t>ANOVA Table</t>
  </si>
  <si>
    <t>Sources of Variation</t>
  </si>
  <si>
    <t>Between Column</t>
  </si>
  <si>
    <t>Within Column</t>
  </si>
  <si>
    <t>Single factor ANOVA or One-Way ANOVA:</t>
  </si>
  <si>
    <t>The following table describes the Sales in Rs. Mn, of different products in four regions of the country from</t>
  </si>
  <si>
    <t>last financial year</t>
  </si>
  <si>
    <t>Products</t>
  </si>
  <si>
    <t>Region</t>
  </si>
  <si>
    <t>North</t>
  </si>
  <si>
    <t>South</t>
  </si>
  <si>
    <t>East</t>
  </si>
  <si>
    <t>West</t>
  </si>
  <si>
    <t>At 5% level of significance, is there enough evidence that the average product-wise sales in the mentioned</t>
  </si>
  <si>
    <t>four regions are equal?</t>
  </si>
  <si>
    <t>µ1 = µ2 = µ3  = µ4</t>
  </si>
  <si>
    <t>The product-wise average sales, in the mentioned four regions are SIGNIFICANTLY DIFFERENT</t>
  </si>
  <si>
    <t>µ1 ≠ µ2 ≠ µ3 ≠ µ4</t>
  </si>
  <si>
    <t>Sample Size (n)</t>
  </si>
  <si>
    <t>Sample Mean (x-bar)</t>
  </si>
  <si>
    <t>Sample Variance (s^2)</t>
  </si>
  <si>
    <r>
      <t>Computation of Between Column Variance, (</t>
    </r>
    <r>
      <rPr>
        <b/>
        <sz val="18"/>
        <color theme="1"/>
        <rFont val="Calibri"/>
        <family val="2"/>
      </rPr>
      <t>σ_b)^2 :</t>
    </r>
  </si>
  <si>
    <t xml:space="preserve">(σ_b)^2 = SUM[ni * (xi-bar - x-double bar)^2] / (k - 1) = 108.25 / (4-1) = </t>
  </si>
  <si>
    <r>
      <t>Computation of Within Column Variance, (</t>
    </r>
    <r>
      <rPr>
        <b/>
        <sz val="18"/>
        <color theme="1"/>
        <rFont val="Calibri"/>
        <family val="2"/>
      </rPr>
      <t>σ_w)^2 :</t>
    </r>
  </si>
  <si>
    <t>ni - 1</t>
  </si>
  <si>
    <t>(σ_w)^2 = SUM[(ni - 1) * (s^2)] / [SUM(ni) - k] = 229.5 / (16 - 4) =</t>
  </si>
  <si>
    <t>The observed value of the F Statistic = (σ_b)^2 / (σ_w)^2 = 36.0833 / 19.125</t>
  </si>
  <si>
    <t>and [SUM(ni) - k] = 12 degrees of freedom in the denominator (df2),</t>
  </si>
  <si>
    <t xml:space="preserve">F_Critical (5%,3,12) = </t>
  </si>
  <si>
    <t>[From the F-Distribution Table]</t>
  </si>
  <si>
    <t>The observed value of F Statistic (1.8867) is less than the critical value of F statistic (3.4903) (Refer the diagram shown above)</t>
  </si>
  <si>
    <t>So we ACCEPT the NULL Hypothesis and REJECT the ALTERNATE Hypothesis</t>
  </si>
  <si>
    <t>Candidates</t>
  </si>
  <si>
    <t>Judges</t>
  </si>
  <si>
    <t>Consider it as a single factor ANOVA and at 5% LoS, determine whether the average score of the participants are equal or not.</t>
  </si>
  <si>
    <t>The average performance of the mentioned six candidates across the evaluating judges, are NOT SIGNIFICANTLY DIFFERENT</t>
  </si>
  <si>
    <t>µC1 = µC2 = µC3 = µC4 = µC5 = µC6,   where µCi is the average performance of candidate i, i =  1 to 6</t>
  </si>
  <si>
    <t>The average performance of the mentioned six candidates across the evaluating judges, are SIGNIFICANTLY DIFFERENT</t>
  </si>
  <si>
    <t>µC1 ≠ µC2 ≠ µC3 ≠ µC4 ≠ µC5 ≠ µC6</t>
  </si>
  <si>
    <t>Where xi-bar are the sample mean values, x-double bar is the Grand mean, k is the number of samples or no of groups, here k = 6</t>
  </si>
  <si>
    <t xml:space="preserve">(σ_b)^2 = SUM[ni * (xi-bar - x-double bar)^2] / (k - 1) = 35.5 / (6-1) = </t>
  </si>
  <si>
    <t>(σ_w)^2 = SUM[(ni - 1) * (s^2)] / [SUM(ni) - k] = 89 / (24 - 6) =</t>
  </si>
  <si>
    <t>The observed value of the F Statistic = (σ_b)^2 / (σ_w)^2 = 7.1 / 4.944</t>
  </si>
  <si>
    <t xml:space="preserve">The corresponding critical value of F-Statistic, at 5% level of siginifcance, (k - 1) = 5 degrees of freedom in the numerator (df1) </t>
  </si>
  <si>
    <t>and [SUM(ni) - k] = 18 degrees of freedom in the denominator (df2),</t>
  </si>
  <si>
    <t xml:space="preserve">F_Critical (5%,5,18) = </t>
  </si>
  <si>
    <t>The observed value of F Statistic (1.436) is less than the critical value of F statistic (2.7729) (Refer the diagram shown above)</t>
  </si>
  <si>
    <t>Single Factor ANOVA using EXCEL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</si>
  <si>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</si>
  <si>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</si>
  <si>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</si>
  <si>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</si>
  <si>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</si>
  <si>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</si>
  <si>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</si>
  <si>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</si>
  <si>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Column 5</t>
  </si>
  <si>
    <t>Column 6</t>
  </si>
  <si>
    <t>Source of Variation</t>
  </si>
  <si>
    <t>F crit</t>
  </si>
  <si>
    <t>Between Groups</t>
  </si>
  <si>
    <t>Within Groups</t>
  </si>
  <si>
    <t>y-bar</t>
  </si>
  <si>
    <t>Sum of Sqauares of Residual error</t>
  </si>
  <si>
    <t>Sum of Sqauares of Regression error</t>
  </si>
  <si>
    <t>Sum of Sqauares of Total error</t>
  </si>
  <si>
    <t>Computation of the observed value of F-Statistic</t>
  </si>
  <si>
    <t>k is the number of Independent Variables (predictors), in Bivariate Analysis, k is always  = 1</t>
  </si>
  <si>
    <t>and [n - k - 1] = 7 - 1 - 1 = 5 degrees of freedom in the denominator (df2),</t>
  </si>
  <si>
    <t xml:space="preserve">F_Critical (5%, 1, 5) = </t>
  </si>
  <si>
    <t>Reject H0</t>
  </si>
  <si>
    <t>ANOVA using EXCEL:</t>
  </si>
  <si>
    <t>X Variable 1, SLOPE</t>
  </si>
  <si>
    <t>How to construct Interval Estimate of the dependent variable y, for a given value of x</t>
  </si>
  <si>
    <r>
      <t xml:space="preserve">Standard Error of Regression, Se = </t>
    </r>
    <r>
      <rPr>
        <b/>
        <sz val="18"/>
        <color theme="1"/>
        <rFont val="Calibri"/>
        <family val="2"/>
      </rPr>
      <t>√</t>
    </r>
    <r>
      <rPr>
        <b/>
        <sz val="18"/>
        <color theme="1"/>
        <rFont val="Calibri"/>
        <family val="2"/>
        <scheme val="minor"/>
      </rPr>
      <t>[SSE/(n - k - 1)]</t>
    </r>
  </si>
  <si>
    <t xml:space="preserve">Point Estimate, for x = 6.2 : y = b*x + a = -3.0397*6.2 + 29.0363 = </t>
  </si>
  <si>
    <r>
      <t xml:space="preserve">Value of t statistic for say 5% LoS, and n - k - 1 = 5 degrees of freedom =   </t>
    </r>
    <r>
      <rPr>
        <b/>
        <sz val="18"/>
        <color theme="1"/>
        <rFont val="Calibri"/>
        <family val="2"/>
      </rPr>
      <t>±</t>
    </r>
  </si>
  <si>
    <r>
      <t xml:space="preserve">Interval Estimate = Point Estimate </t>
    </r>
    <r>
      <rPr>
        <b/>
        <sz val="18"/>
        <color theme="1"/>
        <rFont val="Calibri"/>
        <family val="2"/>
      </rPr>
      <t>± t*Standard Error</t>
    </r>
  </si>
  <si>
    <t>The average  product-wise sales, in the mentioned four regions are NOT SIGNIFICANTLY DIFFERENT</t>
  </si>
  <si>
    <t>Variance of y = [Σ (yi - y-bar)^2] /N</t>
  </si>
  <si>
    <t>n is the number of sets of observation</t>
  </si>
  <si>
    <t xml:space="preserve">The corresponding critical value of F-Statistic, at 5% level of siginifcance, k = 1 degree of freedom in the numerator (df1) </t>
  </si>
  <si>
    <t>Forecasting in an Interval:</t>
  </si>
  <si>
    <t>Forecast for x = 6.2</t>
  </si>
  <si>
    <t>Kmpl</t>
  </si>
  <si>
    <t>&gt;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</si>
</sst>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0"/>
    <numFmt numFmtId="165" formatCode="0.000000"/>
    <numFmt numFmtId="166" formatCode="0.000%"/>
    <numFmt numFmtId="167" formatCode="0.0%"/>
    <numFmt numFmtId="168" formatCode="0.0000"/>
    <numFmt numFmtId="169" formatCode="0.00000"/>
    <numFmt numFmtId="170" formatCode="0.0"/>
    <numFmt numFmtId="171" formatCode="0.000000000"/>
    <numFmt numFmtId="172" formatCode="0.0000%"/>
    <numFmt numFmtId="173" formatCode="0.000000000000"/>
    <numFmt numFmtId="174" formatCode="0.0000000000"/>
    <numFmt numFmtId="175" formatCode="0.0000000%"/>
    <numFmt numFmtId="176" formatCode="0.0000000"/>
    <numFmt numFmtId="177" formatCode="0.00000000000"/>
    <numFmt numFmtId="178" formatCode="0.000000000%"/>
    <numFmt numFmtId="179" formatCode="0.00000%"/>
    <numFmt numFmtId="180" formatCode="0.000000000000000"/>
    <numFmt numFmtId="181" formatCode="0.000000%"/>
    <numFmt numFmtId="182" formatCode="0.000000000E+00"/>
  </numFmts>
  <fonts count="3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1"/>
      <name val="Calibri"/>
      <family val="2"/>
    </font>
    <font>
      <b/>
      <i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8"/>
      <color theme="1"/>
      <name val="Calibri"/>
      <family val="2"/>
    </font>
    <font>
      <b/>
      <sz val="18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20"/>
      <color indexed="81"/>
      <name val="Tahoma"/>
      <family val="2"/>
    </font>
    <font>
      <b/>
      <sz val="10"/>
      <name val="Segoe UI"/>
      <family val="2"/>
    </font>
    <font>
      <sz val="16"/>
      <color theme="1"/>
      <name val="Calibri"/>
      <family val="2"/>
      <scheme val="minor"/>
    </font>
    <font>
      <b/>
      <sz val="12"/>
      <name val="Segoe UI"/>
      <family val="2"/>
    </font>
    <font>
      <b/>
      <sz val="12"/>
      <name val="Calibri"/>
      <family val="2"/>
    </font>
    <font>
      <b/>
      <sz val="14"/>
      <color indexed="81"/>
      <name val="Tahoma"/>
      <family val="2"/>
    </font>
    <font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9.8"/>
      <color theme="1"/>
      <name val="Calibri"/>
      <family val="2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</font>
    <font>
      <b/>
      <sz val="24"/>
      <color theme="1"/>
      <name val="Calibri"/>
      <family val="2"/>
    </font>
    <font>
      <sz val="18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  <xf numFmtId="9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8" fontId="1" fillId="0" borderId="1" xfId="0" applyNumberFormat="1" applyFon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wrapText="1"/>
    </xf>
    <xf numFmtId="166" fontId="1" fillId="2" borderId="1" xfId="0" applyNumberFormat="1" applyFont="1" applyFill="1" applyBorder="1"/>
    <xf numFmtId="166" fontId="1" fillId="2" borderId="1" xfId="1" applyNumberFormat="1" applyFont="1" applyFill="1" applyBorder="1"/>
    <xf numFmtId="167" fontId="1" fillId="0" borderId="1" xfId="1" applyNumberFormat="1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0" xfId="0" applyFont="1" applyFill="1"/>
    <xf numFmtId="10" fontId="1" fillId="3" borderId="1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4" fontId="6" fillId="2" borderId="1" xfId="0" applyNumberFormat="1" applyFont="1" applyFill="1" applyBorder="1"/>
    <xf numFmtId="2" fontId="6" fillId="2" borderId="1" xfId="0" applyNumberFormat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168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164" fontId="6" fillId="0" borderId="1" xfId="0" applyNumberFormat="1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8" fontId="1" fillId="6" borderId="1" xfId="0" applyNumberFormat="1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0" fontId="10" fillId="2" borderId="0" xfId="0" applyFont="1" applyFill="1"/>
    <xf numFmtId="0" fontId="1" fillId="2" borderId="0" xfId="0" applyFont="1" applyFill="1"/>
    <xf numFmtId="0" fontId="12" fillId="0" borderId="5" xfId="0" applyFont="1" applyBorder="1" applyAlignment="1">
      <alignment horizontal="centerContinuous"/>
    </xf>
    <xf numFmtId="0" fontId="1" fillId="0" borderId="4" xfId="0" applyFont="1" applyBorder="1"/>
    <xf numFmtId="169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/>
    <xf numFmtId="0" fontId="1" fillId="2" borderId="1" xfId="0" applyFont="1" applyFill="1" applyBorder="1"/>
    <xf numFmtId="10" fontId="1" fillId="2" borderId="1" xfId="0" applyNumberFormat="1" applyFont="1" applyFill="1" applyBorder="1"/>
    <xf numFmtId="14" fontId="6" fillId="0" borderId="0" xfId="0" applyNumberFormat="1" applyFont="1"/>
    <xf numFmtId="9" fontId="6" fillId="0" borderId="1" xfId="0" applyNumberFormat="1" applyFont="1" applyBorder="1" applyAlignment="1">
      <alignment horizontal="center" wrapText="1"/>
    </xf>
    <xf numFmtId="9" fontId="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 applyAlignment="1">
      <alignment horizontal="center"/>
    </xf>
    <xf numFmtId="9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6" fillId="0" borderId="3" xfId="1" applyNumberFormat="1" applyFont="1" applyBorder="1" applyAlignment="1"/>
    <xf numFmtId="170" fontId="6" fillId="0" borderId="1" xfId="0" applyNumberFormat="1" applyFont="1" applyBorder="1" applyAlignment="1">
      <alignment horizontal="center"/>
    </xf>
    <xf numFmtId="0" fontId="10" fillId="0" borderId="0" xfId="0" applyFont="1"/>
    <xf numFmtId="9" fontId="6" fillId="0" borderId="1" xfId="0" quotePrefix="1" applyNumberFormat="1" applyFont="1" applyBorder="1" applyAlignment="1">
      <alignment horizontal="center"/>
    </xf>
    <xf numFmtId="166" fontId="13" fillId="0" borderId="1" xfId="0" applyNumberFormat="1" applyFont="1" applyBorder="1" applyAlignment="1">
      <alignment horizontal="center" wrapText="1"/>
    </xf>
    <xf numFmtId="168" fontId="6" fillId="0" borderId="1" xfId="0" quotePrefix="1" applyNumberFormat="1" applyFont="1" applyBorder="1" applyAlignment="1">
      <alignment horizontal="center"/>
    </xf>
    <xf numFmtId="10" fontId="13" fillId="0" borderId="1" xfId="0" applyNumberFormat="1" applyFont="1" applyBorder="1" applyAlignment="1">
      <alignment horizontal="center" wrapText="1"/>
    </xf>
    <xf numFmtId="9" fontId="13" fillId="0" borderId="2" xfId="0" applyNumberFormat="1" applyFont="1" applyBorder="1" applyAlignment="1">
      <alignment horizontal="center" wrapText="1"/>
    </xf>
    <xf numFmtId="1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70" fontId="6" fillId="2" borderId="1" xfId="0" applyNumberFormat="1" applyFont="1" applyFill="1" applyBorder="1" applyAlignment="1">
      <alignment horizontal="center"/>
    </xf>
    <xf numFmtId="171" fontId="6" fillId="2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166" fontId="6" fillId="2" borderId="1" xfId="1" applyNumberFormat="1" applyFont="1" applyFill="1" applyBorder="1" applyAlignment="1">
      <alignment horizontal="center"/>
    </xf>
    <xf numFmtId="0" fontId="19" fillId="0" borderId="0" xfId="0" applyFont="1"/>
    <xf numFmtId="171" fontId="6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Continuous"/>
    </xf>
    <xf numFmtId="0" fontId="6" fillId="0" borderId="4" xfId="0" applyFont="1" applyBorder="1"/>
    <xf numFmtId="0" fontId="7" fillId="0" borderId="5" xfId="0" applyFont="1" applyBorder="1" applyAlignment="1">
      <alignment horizontal="center"/>
    </xf>
    <xf numFmtId="0" fontId="6" fillId="2" borderId="0" xfId="0" applyFont="1" applyFill="1"/>
    <xf numFmtId="0" fontId="6" fillId="2" borderId="4" xfId="0" applyFont="1" applyFill="1" applyBorder="1"/>
    <xf numFmtId="0" fontId="7" fillId="2" borderId="5" xfId="0" applyFont="1" applyFill="1" applyBorder="1" applyAlignment="1">
      <alignment horizontal="center"/>
    </xf>
    <xf numFmtId="9" fontId="13" fillId="2" borderId="1" xfId="0" applyNumberFormat="1" applyFont="1" applyFill="1" applyBorder="1" applyAlignment="1">
      <alignment horizontal="center" wrapText="1"/>
    </xf>
    <xf numFmtId="10" fontId="13" fillId="2" borderId="1" xfId="0" applyNumberFormat="1" applyFont="1" applyFill="1" applyBorder="1" applyAlignment="1">
      <alignment horizontal="center" wrapText="1"/>
    </xf>
    <xf numFmtId="0" fontId="22" fillId="0" borderId="0" xfId="0" applyFont="1"/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13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49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6" fillId="7" borderId="0" xfId="0" applyFont="1" applyFill="1"/>
    <xf numFmtId="0" fontId="6" fillId="0" borderId="0" xfId="0" applyFont="1" applyAlignment="1">
      <alignment horizontal="left"/>
    </xf>
    <xf numFmtId="0" fontId="6" fillId="8" borderId="1" xfId="0" applyFont="1" applyFill="1" applyBorder="1"/>
    <xf numFmtId="0" fontId="6" fillId="9" borderId="1" xfId="0" applyFont="1" applyFill="1" applyBorder="1"/>
    <xf numFmtId="0" fontId="0" fillId="10" borderId="1" xfId="0" applyFill="1" applyBorder="1"/>
    <xf numFmtId="0" fontId="6" fillId="7" borderId="1" xfId="0" applyFont="1" applyFill="1" applyBorder="1"/>
    <xf numFmtId="0" fontId="0" fillId="7" borderId="1" xfId="0" applyFill="1" applyBorder="1"/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10" fontId="6" fillId="0" borderId="1" xfId="0" applyNumberFormat="1" applyFont="1" applyBorder="1" applyAlignment="1">
      <alignment horizontal="center" wrapText="1"/>
    </xf>
    <xf numFmtId="9" fontId="19" fillId="2" borderId="1" xfId="0" applyNumberFormat="1" applyFont="1" applyFill="1" applyBorder="1" applyAlignment="1">
      <alignment horizontal="center" wrapText="1"/>
    </xf>
    <xf numFmtId="166" fontId="19" fillId="2" borderId="1" xfId="0" applyNumberFormat="1" applyFont="1" applyFill="1" applyBorder="1" applyAlignment="1">
      <alignment horizontal="center" wrapText="1"/>
    </xf>
    <xf numFmtId="172" fontId="19" fillId="2" borderId="1" xfId="0" applyNumberFormat="1" applyFont="1" applyFill="1" applyBorder="1" applyAlignment="1">
      <alignment horizontal="center" wrapText="1"/>
    </xf>
    <xf numFmtId="172" fontId="19" fillId="2" borderId="1" xfId="0" applyNumberFormat="1" applyFont="1" applyFill="1" applyBorder="1" applyAlignment="1">
      <alignment horizontal="center"/>
    </xf>
    <xf numFmtId="166" fontId="19" fillId="2" borderId="1" xfId="1" applyNumberFormat="1" applyFont="1" applyFill="1" applyBorder="1" applyAlignment="1">
      <alignment horizontal="center"/>
    </xf>
    <xf numFmtId="168" fontId="19" fillId="2" borderId="1" xfId="0" applyNumberFormat="1" applyFont="1" applyFill="1" applyBorder="1" applyAlignment="1">
      <alignment horizontal="center"/>
    </xf>
    <xf numFmtId="0" fontId="31" fillId="0" borderId="0" xfId="0" applyFont="1"/>
    <xf numFmtId="2" fontId="1" fillId="2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165" fontId="6" fillId="0" borderId="1" xfId="0" applyNumberFormat="1" applyFont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0" fontId="30" fillId="0" borderId="0" xfId="0" applyFont="1"/>
    <xf numFmtId="173" fontId="6" fillId="0" borderId="1" xfId="0" applyNumberFormat="1" applyFont="1" applyBorder="1" applyAlignment="1">
      <alignment horizontal="center"/>
    </xf>
    <xf numFmtId="172" fontId="6" fillId="2" borderId="1" xfId="1" applyNumberFormat="1" applyFont="1" applyFill="1" applyBorder="1" applyAlignment="1">
      <alignment horizontal="center"/>
    </xf>
    <xf numFmtId="174" fontId="6" fillId="0" borderId="1" xfId="0" applyNumberFormat="1" applyFont="1" applyBorder="1" applyAlignment="1">
      <alignment horizontal="center"/>
    </xf>
    <xf numFmtId="174" fontId="6" fillId="2" borderId="1" xfId="0" applyNumberFormat="1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center" wrapText="1"/>
    </xf>
    <xf numFmtId="166" fontId="6" fillId="2" borderId="1" xfId="1" applyNumberFormat="1" applyFont="1" applyFill="1" applyBorder="1" applyAlignment="1">
      <alignment horizontal="center" wrapText="1"/>
    </xf>
    <xf numFmtId="175" fontId="6" fillId="2" borderId="1" xfId="0" applyNumberFormat="1" applyFont="1" applyFill="1" applyBorder="1" applyAlignment="1">
      <alignment horizontal="center"/>
    </xf>
    <xf numFmtId="10" fontId="6" fillId="0" borderId="1" xfId="1" applyNumberFormat="1" applyFont="1" applyBorder="1" applyAlignment="1">
      <alignment horizontal="center" wrapText="1"/>
    </xf>
    <xf numFmtId="10" fontId="6" fillId="2" borderId="1" xfId="1" applyNumberFormat="1" applyFont="1" applyFill="1" applyBorder="1" applyAlignment="1">
      <alignment horizontal="center" wrapText="1"/>
    </xf>
    <xf numFmtId="176" fontId="19" fillId="0" borderId="1" xfId="0" applyNumberFormat="1" applyFont="1" applyBorder="1" applyAlignment="1">
      <alignment horizontal="center"/>
    </xf>
    <xf numFmtId="176" fontId="6" fillId="2" borderId="1" xfId="0" applyNumberFormat="1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/>
    </xf>
    <xf numFmtId="0" fontId="5" fillId="2" borderId="0" xfId="0" applyFont="1" applyFill="1"/>
    <xf numFmtId="177" fontId="6" fillId="2" borderId="0" xfId="0" applyNumberFormat="1" applyFont="1" applyFill="1" applyAlignment="1">
      <alignment horizontal="center"/>
    </xf>
    <xf numFmtId="178" fontId="6" fillId="2" borderId="1" xfId="1" applyNumberFormat="1" applyFont="1" applyFill="1" applyBorder="1" applyAlignment="1">
      <alignment horizontal="center"/>
    </xf>
    <xf numFmtId="175" fontId="6" fillId="2" borderId="1" xfId="1" applyNumberFormat="1" applyFont="1" applyFill="1" applyBorder="1" applyAlignment="1">
      <alignment horizontal="center"/>
    </xf>
    <xf numFmtId="179" fontId="6" fillId="2" borderId="1" xfId="1" applyNumberFormat="1" applyFont="1" applyFill="1" applyBorder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left"/>
    </xf>
    <xf numFmtId="172" fontId="6" fillId="2" borderId="1" xfId="1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80" fontId="6" fillId="0" borderId="0" xfId="0" applyNumberFormat="1" applyFont="1"/>
    <xf numFmtId="0" fontId="17" fillId="2" borderId="1" xfId="0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166" fontId="6" fillId="11" borderId="1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81" fontId="6" fillId="2" borderId="1" xfId="1" applyNumberFormat="1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34" fillId="0" borderId="0" xfId="0" applyFont="1"/>
    <xf numFmtId="0" fontId="29" fillId="0" borderId="0" xfId="0" applyFont="1"/>
    <xf numFmtId="166" fontId="17" fillId="2" borderId="1" xfId="1" applyNumberFormat="1" applyFont="1" applyFill="1" applyBorder="1" applyAlignment="1">
      <alignment horizontal="center"/>
    </xf>
    <xf numFmtId="10" fontId="17" fillId="2" borderId="1" xfId="1" applyNumberFormat="1" applyFont="1" applyFill="1" applyBorder="1" applyAlignment="1">
      <alignment horizontal="center"/>
    </xf>
    <xf numFmtId="168" fontId="17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9" fontId="17" fillId="2" borderId="1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64" fontId="6" fillId="2" borderId="0" xfId="0" applyNumberFormat="1" applyFont="1" applyFill="1"/>
    <xf numFmtId="168" fontId="6" fillId="2" borderId="1" xfId="0" applyNumberFormat="1" applyFont="1" applyFill="1" applyBorder="1" applyAlignment="1">
      <alignment horizontal="left"/>
    </xf>
    <xf numFmtId="0" fontId="17" fillId="0" borderId="0" xfId="0" applyFont="1"/>
    <xf numFmtId="167" fontId="6" fillId="2" borderId="1" xfId="1" applyNumberFormat="1" applyFont="1" applyFill="1" applyBorder="1"/>
    <xf numFmtId="9" fontId="6" fillId="0" borderId="1" xfId="1" applyFont="1" applyBorder="1" applyAlignment="1">
      <alignment horizontal="center"/>
    </xf>
    <xf numFmtId="168" fontId="6" fillId="2" borderId="1" xfId="0" applyNumberFormat="1" applyFont="1" applyFill="1" applyBorder="1"/>
    <xf numFmtId="10" fontId="6" fillId="2" borderId="1" xfId="1" applyNumberFormat="1" applyFont="1" applyFill="1" applyBorder="1"/>
    <xf numFmtId="0" fontId="6" fillId="2" borderId="0" xfId="0" applyFont="1" applyFill="1" applyAlignment="1">
      <alignment horizontal="right"/>
    </xf>
    <xf numFmtId="2" fontId="6" fillId="2" borderId="0" xfId="0" applyNumberFormat="1" applyFont="1" applyFill="1"/>
    <xf numFmtId="0" fontId="6" fillId="0" borderId="3" xfId="0" applyFont="1" applyBorder="1" applyAlignment="1">
      <alignment horizontal="center" wrapText="1"/>
    </xf>
    <xf numFmtId="164" fontId="6" fillId="0" borderId="0" xfId="0" applyNumberFormat="1" applyFont="1" applyAlignment="1">
      <alignment horizontal="left"/>
    </xf>
    <xf numFmtId="164" fontId="6" fillId="0" borderId="0" xfId="0" applyNumberFormat="1" applyFont="1"/>
    <xf numFmtId="9" fontId="6" fillId="0" borderId="0" xfId="0" applyNumberFormat="1" applyFont="1"/>
    <xf numFmtId="0" fontId="17" fillId="0" borderId="1" xfId="0" applyFont="1" applyBorder="1" applyAlignment="1">
      <alignment horizontal="center" wrapText="1"/>
    </xf>
    <xf numFmtId="178" fontId="6" fillId="0" borderId="1" xfId="1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 wrapText="1"/>
    </xf>
    <xf numFmtId="164" fontId="6" fillId="2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5" fillId="0" borderId="1" xfId="0" applyFont="1" applyBorder="1" applyAlignment="1">
      <alignment horizontal="justify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72" fontId="6" fillId="2" borderId="1" xfId="1" applyNumberFormat="1" applyFont="1" applyFill="1" applyBorder="1" applyAlignment="1">
      <alignment horizontal="center" wrapText="1"/>
    </xf>
    <xf numFmtId="0" fontId="6" fillId="0" borderId="0" xfId="0" quotePrefix="1" applyFont="1"/>
    <xf numFmtId="1" fontId="6" fillId="2" borderId="1" xfId="1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167" fontId="6" fillId="0" borderId="1" xfId="0" applyNumberFormat="1" applyFont="1" applyBorder="1" applyAlignment="1">
      <alignment horizontal="center" wrapText="1"/>
    </xf>
    <xf numFmtId="179" fontId="17" fillId="0" borderId="1" xfId="1" applyNumberFormat="1" applyFont="1" applyBorder="1" applyAlignment="1">
      <alignment horizontal="center" wrapText="1"/>
    </xf>
    <xf numFmtId="182" fontId="17" fillId="0" borderId="1" xfId="1" applyNumberFormat="1" applyFont="1" applyBorder="1" applyAlignment="1">
      <alignment horizontal="center" wrapText="1"/>
    </xf>
    <xf numFmtId="168" fontId="6" fillId="2" borderId="1" xfId="0" applyNumberFormat="1" applyFont="1" applyFill="1" applyBorder="1" applyAlignment="1">
      <alignment horizontal="center" wrapText="1"/>
    </xf>
    <xf numFmtId="168" fontId="6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9" fontId="6" fillId="2" borderId="1" xfId="1" applyNumberFormat="1" applyFont="1" applyFill="1" applyBorder="1" applyAlignment="1">
      <alignment horizontal="center" wrapText="1"/>
    </xf>
    <xf numFmtId="179" fontId="6" fillId="2" borderId="0" xfId="1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9" fontId="6" fillId="2" borderId="1" xfId="0" applyNumberFormat="1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168" fontId="6" fillId="0" borderId="3" xfId="0" applyNumberFormat="1" applyFont="1" applyBorder="1" applyAlignment="1">
      <alignment horizontal="center"/>
    </xf>
    <xf numFmtId="10" fontId="6" fillId="0" borderId="2" xfId="1" applyNumberFormat="1" applyFont="1" applyBorder="1" applyAlignment="1">
      <alignment horizontal="center"/>
    </xf>
    <xf numFmtId="10" fontId="6" fillId="0" borderId="3" xfId="1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3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Descriptive!$F$230:$F$231</c:f>
              <c:numCache>
                <c:formatCode>General</c:formatCode>
                <c:ptCount val="2"/>
                <c:pt idx="0">
                  <c:v>35.299999999999997</c:v>
                </c:pt>
                <c:pt idx="1">
                  <c:v>177.6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B-4657-81CB-FEA4DD781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973295"/>
        <c:axId val="691974127"/>
      </c:lineChart>
      <c:catAx>
        <c:axId val="691973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74127"/>
        <c:crosses val="autoZero"/>
        <c:auto val="1"/>
        <c:lblAlgn val="ctr"/>
        <c:lblOffset val="100"/>
        <c:noMultiLvlLbl val="0"/>
      </c:catAx>
      <c:valAx>
        <c:axId val="6919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7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Descriptive!$D$277:$D$286</c:f>
              <c:numCache>
                <c:formatCode>General</c:formatCode>
                <c:ptCount val="10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  <c:pt idx="5">
                  <c:v>12</c:v>
                </c:pt>
                <c:pt idx="6">
                  <c:v>19</c:v>
                </c:pt>
                <c:pt idx="7">
                  <c:v>13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1-4D25-8ABF-1267C76C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77392"/>
        <c:axId val="92971152"/>
      </c:barChart>
      <c:catAx>
        <c:axId val="9297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1152"/>
        <c:crosses val="autoZero"/>
        <c:auto val="1"/>
        <c:lblAlgn val="ctr"/>
        <c:lblOffset val="100"/>
        <c:noMultiLvlLbl val="0"/>
      </c:catAx>
      <c:valAx>
        <c:axId val="929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394879706580114"/>
                  <c:y val="-7.500215137042295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Regression!$B$48:$B$55</c:f>
              <c:numCache>
                <c:formatCode>0</c:formatCode>
                <c:ptCount val="8"/>
                <c:pt idx="0">
                  <c:v>92</c:v>
                </c:pt>
                <c:pt idx="1">
                  <c:v>90</c:v>
                </c:pt>
                <c:pt idx="2">
                  <c:v>101</c:v>
                </c:pt>
                <c:pt idx="3">
                  <c:v>117</c:v>
                </c:pt>
                <c:pt idx="4">
                  <c:v>115</c:v>
                </c:pt>
                <c:pt idx="5">
                  <c:v>106</c:v>
                </c:pt>
                <c:pt idx="6">
                  <c:v>110</c:v>
                </c:pt>
                <c:pt idx="7">
                  <c:v>119</c:v>
                </c:pt>
              </c:numCache>
            </c:numRef>
          </c:xVal>
          <c:yVal>
            <c:numRef>
              <c:f>Regression!$C$48:$C$55</c:f>
              <c:numCache>
                <c:formatCode>0</c:formatCode>
                <c:ptCount val="8"/>
                <c:pt idx="0">
                  <c:v>150</c:v>
                </c:pt>
                <c:pt idx="1">
                  <c:v>145</c:v>
                </c:pt>
                <c:pt idx="2">
                  <c:v>159</c:v>
                </c:pt>
                <c:pt idx="3">
                  <c:v>172</c:v>
                </c:pt>
                <c:pt idx="4">
                  <c:v>163</c:v>
                </c:pt>
                <c:pt idx="5">
                  <c:v>146</c:v>
                </c:pt>
                <c:pt idx="6">
                  <c:v>155</c:v>
                </c:pt>
                <c:pt idx="7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46-48AC-A09F-1DAD48E9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621135"/>
        <c:axId val="1495611567"/>
      </c:scatterChart>
      <c:valAx>
        <c:axId val="1495621135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11567"/>
        <c:crosses val="autoZero"/>
        <c:crossBetween val="midCat"/>
      </c:valAx>
      <c:valAx>
        <c:axId val="14956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2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0180934829954764"/>
                  <c:y val="4.67658272241831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Regression!$B$129:$B$136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Regression!$C$129:$C$136</c:f>
              <c:numCache>
                <c:formatCode>0.000</c:formatCode>
                <c:ptCount val="8"/>
                <c:pt idx="0">
                  <c:v>0.24</c:v>
                </c:pt>
                <c:pt idx="1">
                  <c:v>1.369</c:v>
                </c:pt>
                <c:pt idx="2">
                  <c:v>2.6739999999999999</c:v>
                </c:pt>
                <c:pt idx="3">
                  <c:v>8.5289999999999999</c:v>
                </c:pt>
                <c:pt idx="4">
                  <c:v>19.687000000000001</c:v>
                </c:pt>
                <c:pt idx="5">
                  <c:v>32.601999999999997</c:v>
                </c:pt>
                <c:pt idx="6">
                  <c:v>39.670999999999999</c:v>
                </c:pt>
                <c:pt idx="7">
                  <c:v>44.228000000000002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1-450E-872C-559EE773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45616"/>
        <c:axId val="680132720"/>
      </c:scatterChart>
      <c:valAx>
        <c:axId val="6801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32720"/>
        <c:crosses val="autoZero"/>
        <c:crossBetween val="midCat"/>
      </c:valAx>
      <c:valAx>
        <c:axId val="6801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4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Averages'!$B$4</c:f>
              <c:strCache>
                <c:ptCount val="1"/>
                <c:pt idx="0">
                  <c:v>NIFTY 50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 Averages'!$B$5:$B$25</c:f>
              <c:numCache>
                <c:formatCode>General</c:formatCode>
                <c:ptCount val="21"/>
                <c:pt idx="0">
                  <c:v>16216</c:v>
                </c:pt>
                <c:pt idx="1">
                  <c:v>16058.3</c:v>
                </c:pt>
                <c:pt idx="2">
                  <c:v>15966.65</c:v>
                </c:pt>
                <c:pt idx="3">
                  <c:v>15938.65</c:v>
                </c:pt>
                <c:pt idx="4">
                  <c:v>16049.2</c:v>
                </c:pt>
                <c:pt idx="5">
                  <c:v>16278.5</c:v>
                </c:pt>
                <c:pt idx="6">
                  <c:v>16340.55</c:v>
                </c:pt>
                <c:pt idx="7">
                  <c:v>16520.849999999999</c:v>
                </c:pt>
                <c:pt idx="8">
                  <c:v>16605.25</c:v>
                </c:pt>
                <c:pt idx="9">
                  <c:v>16719.45</c:v>
                </c:pt>
                <c:pt idx="10">
                  <c:v>16631</c:v>
                </c:pt>
                <c:pt idx="11">
                  <c:v>16483.849999999999</c:v>
                </c:pt>
                <c:pt idx="12">
                  <c:v>16641.8</c:v>
                </c:pt>
                <c:pt idx="13">
                  <c:v>16929.599999999999</c:v>
                </c:pt>
                <c:pt idx="14">
                  <c:v>17158.25</c:v>
                </c:pt>
                <c:pt idx="15">
                  <c:v>17340.05</c:v>
                </c:pt>
                <c:pt idx="16">
                  <c:v>17345.45</c:v>
                </c:pt>
                <c:pt idx="17">
                  <c:v>17388.150000000001</c:v>
                </c:pt>
                <c:pt idx="18">
                  <c:v>17382</c:v>
                </c:pt>
                <c:pt idx="19">
                  <c:v>17397.5</c:v>
                </c:pt>
                <c:pt idx="20">
                  <c:v>17511.05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C-4702-8844-58866B995F67}"/>
            </c:ext>
          </c:extLst>
        </c:ser>
        <c:ser>
          <c:idx val="1"/>
          <c:order val="1"/>
          <c:tx>
            <c:strRef>
              <c:f>'Moving Averages'!$G$4</c:f>
              <c:strCache>
                <c:ptCount val="1"/>
                <c:pt idx="0">
                  <c:v>5-Period 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 Averages'!$G$5:$G$25</c:f>
              <c:numCache>
                <c:formatCode>0.00</c:formatCode>
                <c:ptCount val="21"/>
                <c:pt idx="0">
                  <c:v>16216</c:v>
                </c:pt>
                <c:pt idx="1">
                  <c:v>16216.000000000002</c:v>
                </c:pt>
                <c:pt idx="2">
                  <c:v>16184.460000000003</c:v>
                </c:pt>
                <c:pt idx="3">
                  <c:v>16140.898000000003</c:v>
                </c:pt>
                <c:pt idx="4">
                  <c:v>16100.448400000003</c:v>
                </c:pt>
                <c:pt idx="5">
                  <c:v>16090.198720000004</c:v>
                </c:pt>
                <c:pt idx="6">
                  <c:v>16127.858976000005</c:v>
                </c:pt>
                <c:pt idx="7">
                  <c:v>16170.397180800006</c:v>
                </c:pt>
                <c:pt idx="8">
                  <c:v>16240.487744640006</c:v>
                </c:pt>
                <c:pt idx="9">
                  <c:v>16313.440195712006</c:v>
                </c:pt>
                <c:pt idx="10">
                  <c:v>16394.642156569607</c:v>
                </c:pt>
                <c:pt idx="11">
                  <c:v>16441.913725255687</c:v>
                </c:pt>
                <c:pt idx="12">
                  <c:v>16450.300980204549</c:v>
                </c:pt>
                <c:pt idx="13">
                  <c:v>16488.600784163638</c:v>
                </c:pt>
                <c:pt idx="14">
                  <c:v>16576.800627330911</c:v>
                </c:pt>
                <c:pt idx="15">
                  <c:v>16693.090501864732</c:v>
                </c:pt>
                <c:pt idx="16">
                  <c:v>16822.482401491787</c:v>
                </c:pt>
                <c:pt idx="17">
                  <c:v>16927.075921193431</c:v>
                </c:pt>
                <c:pt idx="18">
                  <c:v>17019.290736954747</c:v>
                </c:pt>
                <c:pt idx="19">
                  <c:v>17091.832589563797</c:v>
                </c:pt>
                <c:pt idx="20">
                  <c:v>17152.966071651041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C-4702-8844-58866B99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536416"/>
        <c:axId val="174246592"/>
      </c:lineChart>
      <c:catAx>
        <c:axId val="205053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6592"/>
        <c:crosses val="autoZero"/>
        <c:auto val="1"/>
        <c:lblAlgn val="ctr"/>
        <c:lblOffset val="100"/>
        <c:noMultiLvlLbl val="0"/>
      </c:catAx>
      <c:valAx>
        <c:axId val="1742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[1]Probability!$C$362:$C$367</c:f>
              <c:numCache>
                <c:formatCode>General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C-4916-9538-6D2D10DE3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11504"/>
        <c:axId val="614111920"/>
      </c:barChart>
      <c:catAx>
        <c:axId val="61411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11920"/>
        <c:crosses val="autoZero"/>
        <c:auto val="1"/>
        <c:lblAlgn val="ctr"/>
        <c:lblOffset val="100"/>
        <c:noMultiLvlLbl val="0"/>
      </c:catAx>
      <c:valAx>
        <c:axId val="61411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1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Probability!$C$880:$C$930</c:f>
              <c:numCache>
                <c:formatCode>General</c:formatCode>
                <c:ptCount val="5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  <c:pt idx="41">
                  <c:v>1.3549125306499445E-5</c:v>
                </c:pt>
                <c:pt idx="42">
                  <c:v>6.4519644316664028E-6</c:v>
                </c:pt>
                <c:pt idx="43">
                  <c:v>3.0009136891471711E-6</c:v>
                </c:pt>
                <c:pt idx="44">
                  <c:v>1.3640516768850688E-6</c:v>
                </c:pt>
                <c:pt idx="45">
                  <c:v>6.0624518972670115E-7</c:v>
                </c:pt>
                <c:pt idx="46">
                  <c:v>2.6358486509856742E-7</c:v>
                </c:pt>
                <c:pt idx="47">
                  <c:v>1.1216377238236792E-7</c:v>
                </c:pt>
                <c:pt idx="48">
                  <c:v>4.6734905159320215E-8</c:v>
                </c:pt>
                <c:pt idx="49">
                  <c:v>1.9075471493599922E-8</c:v>
                </c:pt>
                <c:pt idx="50">
                  <c:v>7.6301885974399753E-9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D-4EE2-BCAC-2318830EC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1924751"/>
        <c:axId val="1811925167"/>
      </c:barChart>
      <c:catAx>
        <c:axId val="1811924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25167"/>
        <c:crosses val="autoZero"/>
        <c:auto val="1"/>
        <c:lblAlgn val="ctr"/>
        <c:lblOffset val="100"/>
        <c:noMultiLvlLbl val="0"/>
      </c:catAx>
      <c:valAx>
        <c:axId val="18119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2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'Hypotheis Testing'!$D$579:$D$598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13</c:v>
                </c:pt>
                <c:pt idx="9">
                  <c:v>15</c:v>
                </c:pt>
                <c:pt idx="10">
                  <c:v>20</c:v>
                </c:pt>
                <c:pt idx="11">
                  <c:v>11</c:v>
                </c:pt>
                <c:pt idx="12">
                  <c:v>7</c:v>
                </c:pt>
                <c:pt idx="13">
                  <c:v>4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4-488E-B5CD-79B5BEA37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562432"/>
        <c:axId val="1705562848"/>
      </c:barChart>
      <c:catAx>
        <c:axId val="1705562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2848"/>
        <c:crosses val="autoZero"/>
        <c:auto val="1"/>
        <c:lblAlgn val="ctr"/>
        <c:lblOffset val="100"/>
        <c:noMultiLvlLbl val="0"/>
      </c:catAx>
      <c:valAx>
        <c:axId val="17055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'Hypotheis Testing'!$E$579:$E$598</c:f>
              <c:numCache>
                <c:formatCode>0.000000</c:formatCode>
                <c:ptCount val="20"/>
                <c:pt idx="0">
                  <c:v>1.4232226979895533</c:v>
                </c:pt>
                <c:pt idx="1">
                  <c:v>2.2605464425929753</c:v>
                </c:pt>
                <c:pt idx="2">
                  <c:v>3.4060407823956242</c:v>
                </c:pt>
                <c:pt idx="3">
                  <c:v>4.8683557683114325</c:v>
                </c:pt>
                <c:pt idx="4">
                  <c:v>6.6010195167958985</c:v>
                </c:pt>
                <c:pt idx="5">
                  <c:v>8.4905560372907374</c:v>
                </c:pt>
                <c:pt idx="6">
                  <c:v>10.359953118461757</c:v>
                </c:pt>
                <c:pt idx="7">
                  <c:v>11.99157134899585</c:v>
                </c:pt>
                <c:pt idx="8">
                  <c:v>13.167130146069891</c:v>
                </c:pt>
                <c:pt idx="9">
                  <c:v>13.715225028746749</c:v>
                </c:pt>
                <c:pt idx="10">
                  <c:v>13.552254406606684</c:v>
                </c:pt>
                <c:pt idx="11">
                  <c:v>12.703311463425655</c:v>
                </c:pt>
                <c:pt idx="12">
                  <c:v>11.295854889981428</c:v>
                </c:pt>
                <c:pt idx="13">
                  <c:v>9.5283556186474332</c:v>
                </c:pt>
                <c:pt idx="14">
                  <c:v>7.6245359042592717</c:v>
                </c:pt>
                <c:pt idx="15">
                  <c:v>5.7876912369634104</c:v>
                </c:pt>
                <c:pt idx="16">
                  <c:v>4.1676729516292088</c:v>
                </c:pt>
                <c:pt idx="17">
                  <c:v>2.8469384005217813</c:v>
                </c:pt>
                <c:pt idx="18">
                  <c:v>1.844838990091191</c:v>
                </c:pt>
                <c:pt idx="19">
                  <c:v>1.1340562508225849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7-413A-ABFD-F71B9F4F4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000048"/>
        <c:axId val="1706996720"/>
      </c:barChart>
      <c:catAx>
        <c:axId val="170700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996720"/>
        <c:crosses val="autoZero"/>
        <c:auto val="1"/>
        <c:lblAlgn val="ctr"/>
        <c:lblOffset val="100"/>
        <c:noMultiLvlLbl val="0"/>
      </c:catAx>
      <c:valAx>
        <c:axId val="17069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0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'Hypotheis Testing'!$C$655:$C$675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C-4DFA-859F-A92C554AF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259040"/>
        <c:axId val="1707259872"/>
      </c:barChart>
      <c:catAx>
        <c:axId val="1707259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59872"/>
        <c:crosses val="autoZero"/>
        <c:auto val="1"/>
        <c:lblAlgn val="ctr"/>
        <c:lblOffset val="100"/>
        <c:noMultiLvlLbl val="0"/>
      </c:catAx>
      <c:valAx>
        <c:axId val="17072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5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[2]ANOVA!$C$268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490686786419923"/>
                  <c:y val="-0.5048771788141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[2]ANOVA!$B$269:$B$275</c:f>
              <c:numCache>
                <c:formatCode>General</c:formatCode>
                <c:ptCount val="7"/>
                <c:pt idx="0">
                  <c:v>3.2</c:v>
                </c:pt>
                <c:pt idx="1">
                  <c:v>3.25</c:v>
                </c:pt>
                <c:pt idx="2">
                  <c:v>5.5</c:v>
                </c:pt>
                <c:pt idx="3">
                  <c:v>4.2</c:v>
                </c:pt>
                <c:pt idx="4">
                  <c:v>6.2</c:v>
                </c:pt>
                <c:pt idx="5">
                  <c:v>4.5999999999999996</c:v>
                </c:pt>
                <c:pt idx="6">
                  <c:v>5.9</c:v>
                </c:pt>
              </c:numCache>
            </c:numRef>
          </c:xVal>
          <c:yVal>
            <c:numRef>
              <c:f>[2]ANOVA!$C$269:$C$275</c:f>
              <c:numCache>
                <c:formatCode>General</c:formatCode>
                <c:ptCount val="7"/>
                <c:pt idx="0">
                  <c:v>19.7</c:v>
                </c:pt>
                <c:pt idx="1">
                  <c:v>18.2</c:v>
                </c:pt>
                <c:pt idx="2">
                  <c:v>12.5</c:v>
                </c:pt>
                <c:pt idx="3">
                  <c:v>15.6</c:v>
                </c:pt>
                <c:pt idx="4">
                  <c:v>9.6999999999999993</c:v>
                </c:pt>
                <c:pt idx="5">
                  <c:v>16.899999999999999</c:v>
                </c:pt>
                <c:pt idx="6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8A-4685-BEF8-B9F11D6E9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74512"/>
        <c:axId val="462169104"/>
      </c:scatterChart>
      <c:valAx>
        <c:axId val="462174512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69104"/>
        <c:crosses val="autoZero"/>
        <c:crossBetween val="midCat"/>
      </c:valAx>
      <c:valAx>
        <c:axId val="462169104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4.png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4.png"/><Relationship Id="rId2" Type="http://schemas.openxmlformats.org/officeDocument/2006/relationships/image" Target="../media/image7.gif"/><Relationship Id="rId1" Type="http://schemas.openxmlformats.org/officeDocument/2006/relationships/image" Target="../media/image5.png"/><Relationship Id="rId6" Type="http://schemas.openxmlformats.org/officeDocument/2006/relationships/image" Target="../media/image11.png"/><Relationship Id="rId11" Type="http://schemas.openxmlformats.org/officeDocument/2006/relationships/chart" Target="../charts/chart10.xml"/><Relationship Id="rId5" Type="http://schemas.openxmlformats.org/officeDocument/2006/relationships/image" Target="../media/image10.png"/><Relationship Id="rId10" Type="http://schemas.openxmlformats.org/officeDocument/2006/relationships/chart" Target="../charts/chart9.xml"/><Relationship Id="rId4" Type="http://schemas.openxmlformats.org/officeDocument/2006/relationships/image" Target="../media/image9.jpeg"/><Relationship Id="rId9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231</xdr:row>
      <xdr:rowOff>53340</xdr:rowOff>
    </xdr:from>
    <xdr:to>
      <xdr:col>6</xdr:col>
      <xdr:colOff>1508760</xdr:colOff>
      <xdr:row>239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C2FD8-3E03-475D-A630-D32E0C8E8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266</xdr:row>
      <xdr:rowOff>4233</xdr:rowOff>
    </xdr:from>
    <xdr:to>
      <xdr:col>7</xdr:col>
      <xdr:colOff>313266</xdr:colOff>
      <xdr:row>274</xdr:row>
      <xdr:rowOff>105833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5DE1B6-D757-61A9-F979-B947370D3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323</xdr:row>
      <xdr:rowOff>0</xdr:rowOff>
    </xdr:from>
    <xdr:to>
      <xdr:col>4</xdr:col>
      <xdr:colOff>1181100</xdr:colOff>
      <xdr:row>333</xdr:row>
      <xdr:rowOff>60960</xdr:rowOff>
    </xdr:to>
    <xdr:pic>
      <xdr:nvPicPr>
        <xdr:cNvPr id="7" name="Picture 6" descr="Understanding Parametric Tests, Skewness, and Kurtosis - Technical Articles">
          <a:extLst>
            <a:ext uri="{FF2B5EF4-FFF2-40B4-BE49-F238E27FC236}">
              <a16:creationId xmlns:a16="http://schemas.microsoft.com/office/drawing/2014/main" id="{34C377BA-CD80-44F0-A15D-510A05B7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0" y="113258600"/>
          <a:ext cx="6667500" cy="336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4</xdr:col>
      <xdr:colOff>2284141</xdr:colOff>
      <xdr:row>387</xdr:row>
      <xdr:rowOff>266700</xdr:rowOff>
    </xdr:to>
    <xdr:pic>
      <xdr:nvPicPr>
        <xdr:cNvPr id="8" name="Picture 7" descr="Skewness and Kurtosis |Shape of data: Skewness and Kurtosis">
          <a:extLst>
            <a:ext uri="{FF2B5EF4-FFF2-40B4-BE49-F238E27FC236}">
              <a16:creationId xmlns:a16="http://schemas.microsoft.com/office/drawing/2014/main" id="{3CE33831-9EB9-4672-A46C-92D776A1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0" y="131080933"/>
          <a:ext cx="7770541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556260</xdr:colOff>
      <xdr:row>283</xdr:row>
      <xdr:rowOff>230527</xdr:rowOff>
    </xdr:from>
    <xdr:ext cx="4221480" cy="2505054"/>
    <xdr:pic>
      <xdr:nvPicPr>
        <xdr:cNvPr id="3" name="Picture 2" descr="The F Distribution">
          <a:extLst>
            <a:ext uri="{FF2B5EF4-FFF2-40B4-BE49-F238E27FC236}">
              <a16:creationId xmlns:a16="http://schemas.microsoft.com/office/drawing/2014/main" id="{9252243B-F608-4159-9464-90F447085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75394207"/>
          <a:ext cx="4221480" cy="2505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609600</xdr:colOff>
      <xdr:row>290</xdr:row>
      <xdr:rowOff>15240</xdr:rowOff>
    </xdr:from>
    <xdr:to>
      <xdr:col>2</xdr:col>
      <xdr:colOff>708660</xdr:colOff>
      <xdr:row>290</xdr:row>
      <xdr:rowOff>121920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FFCD7B0-0268-4B89-A021-0C03EA666B81}"/>
            </a:ext>
          </a:extLst>
        </xdr:cNvPr>
        <xdr:cNvSpPr/>
      </xdr:nvSpPr>
      <xdr:spPr>
        <a:xfrm>
          <a:off x="3817620" y="77259180"/>
          <a:ext cx="9906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670560</xdr:colOff>
      <xdr:row>290</xdr:row>
      <xdr:rowOff>76200</xdr:rowOff>
    </xdr:from>
    <xdr:to>
      <xdr:col>3</xdr:col>
      <xdr:colOff>388620</xdr:colOff>
      <xdr:row>293</xdr:row>
      <xdr:rowOff>281940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02B174C-F8E4-4EA1-8255-D5B03ED58862}"/>
            </a:ext>
          </a:extLst>
        </xdr:cNvPr>
        <xdr:cNvCxnSpPr/>
      </xdr:nvCxnSpPr>
      <xdr:spPr>
        <a:xfrm>
          <a:off x="3878580" y="77320140"/>
          <a:ext cx="2354580" cy="1097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2278380</xdr:colOff>
      <xdr:row>290</xdr:row>
      <xdr:rowOff>0</xdr:rowOff>
    </xdr:from>
    <xdr:to>
      <xdr:col>1</xdr:col>
      <xdr:colOff>2324100</xdr:colOff>
      <xdr:row>290</xdr:row>
      <xdr:rowOff>83820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17649AA-197C-4C1C-B2A4-8EDF8D7D1D78}"/>
            </a:ext>
          </a:extLst>
        </xdr:cNvPr>
        <xdr:cNvSpPr/>
      </xdr:nvSpPr>
      <xdr:spPr>
        <a:xfrm flipH="1">
          <a:off x="3032760" y="77243940"/>
          <a:ext cx="45720" cy="838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2308860</xdr:colOff>
      <xdr:row>290</xdr:row>
      <xdr:rowOff>60960</xdr:rowOff>
    </xdr:from>
    <xdr:to>
      <xdr:col>2</xdr:col>
      <xdr:colOff>1158240</xdr:colOff>
      <xdr:row>294</xdr:row>
      <xdr:rowOff>30480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74465EF-3B07-4A25-9C98-8B9ECE346942}"/>
            </a:ext>
          </a:extLst>
        </xdr:cNvPr>
        <xdr:cNvCxnSpPr/>
      </xdr:nvCxnSpPr>
      <xdr:spPr>
        <a:xfrm>
          <a:off x="3063240" y="77304900"/>
          <a:ext cx="1303020" cy="1158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468674</xdr:colOff>
      <xdr:row>44</xdr:row>
      <xdr:rowOff>238542</xdr:rowOff>
    </xdr:from>
    <xdr:to>
      <xdr:col>25</xdr:col>
      <xdr:colOff>181937</xdr:colOff>
      <xdr:row>53</xdr:row>
      <xdr:rowOff>229129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C0819E-86DF-7AD1-3600-EAF0B200C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952500</xdr:colOff>
      <xdr:row>124</xdr:row>
      <xdr:rowOff>0</xdr:rowOff>
    </xdr:from>
    <xdr:to>
      <xdr:col>7</xdr:col>
      <xdr:colOff>1874520</xdr:colOff>
      <xdr:row>134</xdr:row>
      <xdr:rowOff>266700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ED4B7-A865-E27D-246C-D7B2CE92B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</xdr:colOff>
      <xdr:row>12</xdr:row>
      <xdr:rowOff>284257</xdr:rowOff>
    </xdr:from>
    <xdr:to>
      <xdr:col>22</xdr:col>
      <xdr:colOff>197944</xdr:colOff>
      <xdr:row>24</xdr:row>
      <xdr:rowOff>154719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19FF3-918F-9EF0-11C1-2BE0F13FA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38</xdr:row>
      <xdr:rowOff>106680</xdr:rowOff>
    </xdr:from>
    <xdr:to>
      <xdr:col>2</xdr:col>
      <xdr:colOff>1079269</xdr:colOff>
      <xdr:row>41</xdr:row>
      <xdr:rowOff>136467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F5ADE7E-B68A-489E-98F2-A58C230DEDE4}"/>
            </a:ext>
          </a:extLst>
        </xdr:cNvPr>
        <xdr:cNvSpPr/>
      </xdr:nvSpPr>
      <xdr:spPr>
        <a:xfrm>
          <a:off x="4091940" y="12702540"/>
          <a:ext cx="1010689" cy="9213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824963</xdr:colOff>
      <xdr:row>38</xdr:row>
      <xdr:rowOff>111876</xdr:rowOff>
    </xdr:from>
    <xdr:to>
      <xdr:col>2</xdr:col>
      <xdr:colOff>1798321</xdr:colOff>
      <xdr:row>41</xdr:row>
      <xdr:rowOff>141663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D1A9AB6-B083-40B8-876C-3A57C90A7CBF}"/>
            </a:ext>
          </a:extLst>
        </xdr:cNvPr>
        <xdr:cNvSpPr/>
      </xdr:nvSpPr>
      <xdr:spPr>
        <a:xfrm>
          <a:off x="4848323" y="12707736"/>
          <a:ext cx="973358" cy="9213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53340</xdr:colOff>
      <xdr:row>80</xdr:row>
      <xdr:rowOff>228600</xdr:rowOff>
    </xdr:from>
    <xdr:to>
      <xdr:col>3</xdr:col>
      <xdr:colOff>1315619</xdr:colOff>
      <xdr:row>83</xdr:row>
      <xdr:rowOff>282633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0F61055-CDC8-4E5F-A61C-EC1E5D0DA020}"/>
            </a:ext>
          </a:extLst>
        </xdr:cNvPr>
        <xdr:cNvSpPr/>
      </xdr:nvSpPr>
      <xdr:spPr>
        <a:xfrm>
          <a:off x="8183880" y="25847040"/>
          <a:ext cx="1262279" cy="94557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942519</xdr:colOff>
      <xdr:row>80</xdr:row>
      <xdr:rowOff>208512</xdr:rowOff>
    </xdr:from>
    <xdr:to>
      <xdr:col>4</xdr:col>
      <xdr:colOff>388966</xdr:colOff>
      <xdr:row>83</xdr:row>
      <xdr:rowOff>262545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0791754-288A-4AF4-A227-8541A4C62284}"/>
            </a:ext>
          </a:extLst>
        </xdr:cNvPr>
        <xdr:cNvSpPr/>
      </xdr:nvSpPr>
      <xdr:spPr>
        <a:xfrm>
          <a:off x="9073059" y="25826952"/>
          <a:ext cx="1488607" cy="94557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386</xdr:row>
      <xdr:rowOff>112393</xdr:rowOff>
    </xdr:from>
    <xdr:to>
      <xdr:col>16</xdr:col>
      <xdr:colOff>377190</xdr:colOff>
      <xdr:row>386</xdr:row>
      <xdr:rowOff>112393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B5D32B8-2186-4507-A5F2-EADD26BEF8DF}"/>
            </a:ext>
          </a:extLst>
        </xdr:cNvPr>
        <xdr:cNvCxnSpPr/>
      </xdr:nvCxnSpPr>
      <xdr:spPr>
        <a:xfrm>
          <a:off x="1112520" y="122954413"/>
          <a:ext cx="19739610" cy="0"/>
        </a:xfrm>
        <a:prstGeom prst="straightConnector1">
          <a:avLst/>
        </a:prstGeom>
        <a:ln w="444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72390</xdr:colOff>
      <xdr:row>380</xdr:row>
      <xdr:rowOff>0</xdr:rowOff>
    </xdr:from>
    <xdr:to>
      <xdr:col>9</xdr:col>
      <xdr:colOff>81915</xdr:colOff>
      <xdr:row>388</xdr:row>
      <xdr:rowOff>173353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BB0FC1-9630-4969-B75F-039175C71288}"/>
            </a:ext>
          </a:extLst>
        </xdr:cNvPr>
        <xdr:cNvCxnSpPr/>
      </xdr:nvCxnSpPr>
      <xdr:spPr>
        <a:xfrm flipV="1">
          <a:off x="16165830" y="121058940"/>
          <a:ext cx="9525" cy="2550793"/>
        </a:xfrm>
        <a:prstGeom prst="straightConnector1">
          <a:avLst/>
        </a:prstGeom>
        <a:ln w="444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72389</xdr:colOff>
      <xdr:row>381</xdr:row>
      <xdr:rowOff>1904</xdr:rowOff>
    </xdr:from>
    <xdr:to>
      <xdr:col>12</xdr:col>
      <xdr:colOff>510540</xdr:colOff>
      <xdr:row>391</xdr:row>
      <xdr:rowOff>32384</xdr:rowOff>
    </xdr:to>
    <xdr:sp macro="" textlink="">
      <xdr:nvSpPr>
        <xdr:cNvPr id="8" name="Arc 7">
          <a:extLst>
            <a:ext uri="{FF2B5EF4-FFF2-40B4-BE49-F238E27FC236}">
              <a16:creationId xmlns:a16="http://schemas.microsoft.com/office/drawing/2014/main" id="{55D914C4-F74C-451A-B790-B1E2AC8F01CC}"/>
            </a:ext>
          </a:extLst>
        </xdr:cNvPr>
        <xdr:cNvSpPr/>
      </xdr:nvSpPr>
      <xdr:spPr>
        <a:xfrm>
          <a:off x="16165829" y="121358024"/>
          <a:ext cx="2381251" cy="3032760"/>
        </a:xfrm>
        <a:prstGeom prst="arc">
          <a:avLst>
            <a:gd name="adj1" fmla="val 10475616"/>
            <a:gd name="adj2" fmla="val 3857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558165</xdr:colOff>
      <xdr:row>382</xdr:row>
      <xdr:rowOff>203833</xdr:rowOff>
    </xdr:from>
    <xdr:to>
      <xdr:col>13</xdr:col>
      <xdr:colOff>558165</xdr:colOff>
      <xdr:row>386</xdr:row>
      <xdr:rowOff>83818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29CD134-CDAA-4479-ABEB-626DDC837311}"/>
            </a:ext>
          </a:extLst>
        </xdr:cNvPr>
        <xdr:cNvCxnSpPr/>
      </xdr:nvCxnSpPr>
      <xdr:spPr>
        <a:xfrm flipV="1">
          <a:off x="19204305" y="121857133"/>
          <a:ext cx="0" cy="10687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569595</xdr:colOff>
      <xdr:row>382</xdr:row>
      <xdr:rowOff>209548</xdr:rowOff>
    </xdr:from>
    <xdr:to>
      <xdr:col>16</xdr:col>
      <xdr:colOff>74295</xdr:colOff>
      <xdr:row>382</xdr:row>
      <xdr:rowOff>209550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A1D3037-2AAA-4B8A-AB89-85DEF3D102F1}"/>
            </a:ext>
          </a:extLst>
        </xdr:cNvPr>
        <xdr:cNvCxnSpPr/>
      </xdr:nvCxnSpPr>
      <xdr:spPr>
        <a:xfrm flipV="1">
          <a:off x="19215735" y="121862848"/>
          <a:ext cx="133350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100965</xdr:colOff>
      <xdr:row>382</xdr:row>
      <xdr:rowOff>219073</xdr:rowOff>
    </xdr:from>
    <xdr:to>
      <xdr:col>16</xdr:col>
      <xdr:colOff>100965</xdr:colOff>
      <xdr:row>386</xdr:row>
      <xdr:rowOff>99058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3EDEAC4-1411-48F7-B6E9-8E955DD9B622}"/>
            </a:ext>
          </a:extLst>
        </xdr:cNvPr>
        <xdr:cNvCxnSpPr/>
      </xdr:nvCxnSpPr>
      <xdr:spPr>
        <a:xfrm flipV="1">
          <a:off x="20575905" y="121872373"/>
          <a:ext cx="0" cy="10687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243840</xdr:colOff>
      <xdr:row>362</xdr:row>
      <xdr:rowOff>72390</xdr:rowOff>
    </xdr:from>
    <xdr:to>
      <xdr:col>15</xdr:col>
      <xdr:colOff>434340</xdr:colOff>
      <xdr:row>369</xdr:row>
      <xdr:rowOff>255270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BF0655-E9E6-4DA5-81D7-471BD65BB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2529667</xdr:colOff>
      <xdr:row>998</xdr:row>
      <xdr:rowOff>279342</xdr:rowOff>
    </xdr:from>
    <xdr:to>
      <xdr:col>3</xdr:col>
      <xdr:colOff>1800572</xdr:colOff>
      <xdr:row>998</xdr:row>
      <xdr:rowOff>279342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8767D5D-5F17-447C-813A-FF007DC2137E}"/>
            </a:ext>
          </a:extLst>
        </xdr:cNvPr>
        <xdr:cNvCxnSpPr/>
      </xdr:nvCxnSpPr>
      <xdr:spPr>
        <a:xfrm>
          <a:off x="6553027" y="301353162"/>
          <a:ext cx="33780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2539192</xdr:colOff>
      <xdr:row>998</xdr:row>
      <xdr:rowOff>283152</xdr:rowOff>
    </xdr:from>
    <xdr:to>
      <xdr:col>2</xdr:col>
      <xdr:colOff>2539192</xdr:colOff>
      <xdr:row>1001</xdr:row>
      <xdr:rowOff>102696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302B0BF-EFFD-4E48-822E-4E5339B4C9C6}"/>
            </a:ext>
          </a:extLst>
        </xdr:cNvPr>
        <xdr:cNvCxnSpPr/>
      </xdr:nvCxnSpPr>
      <xdr:spPr>
        <a:xfrm>
          <a:off x="6562552" y="301356972"/>
          <a:ext cx="0" cy="711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3539317</xdr:colOff>
      <xdr:row>998</xdr:row>
      <xdr:rowOff>60960</xdr:rowOff>
    </xdr:from>
    <xdr:to>
      <xdr:col>2</xdr:col>
      <xdr:colOff>3558367</xdr:colOff>
      <xdr:row>1002</xdr:row>
      <xdr:rowOff>272761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83AD56C-C19F-4835-808F-3532E87FC857}"/>
            </a:ext>
          </a:extLst>
        </xdr:cNvPr>
        <xdr:cNvCxnSpPr/>
      </xdr:nvCxnSpPr>
      <xdr:spPr>
        <a:xfrm>
          <a:off x="7562677" y="301134780"/>
          <a:ext cx="19050" cy="14005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3272617</xdr:colOff>
      <xdr:row>998</xdr:row>
      <xdr:rowOff>243147</xdr:rowOff>
    </xdr:from>
    <xdr:to>
      <xdr:col>2</xdr:col>
      <xdr:colOff>3558367</xdr:colOff>
      <xdr:row>999</xdr:row>
      <xdr:rowOff>272934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7BE9E95-D5F8-4ADB-83C0-8E50A37C7488}"/>
            </a:ext>
          </a:extLst>
        </xdr:cNvPr>
        <xdr:cNvCxnSpPr/>
      </xdr:nvCxnSpPr>
      <xdr:spPr>
        <a:xfrm>
          <a:off x="7295977" y="301316967"/>
          <a:ext cx="285750" cy="326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3148792</xdr:colOff>
      <xdr:row>998</xdr:row>
      <xdr:rowOff>273627</xdr:rowOff>
    </xdr:from>
    <xdr:to>
      <xdr:col>2</xdr:col>
      <xdr:colOff>3529792</xdr:colOff>
      <xdr:row>1000</xdr:row>
      <xdr:rowOff>158634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610930D-382D-4281-AE17-0D9CF165171F}"/>
            </a:ext>
          </a:extLst>
        </xdr:cNvPr>
        <xdr:cNvCxnSpPr/>
      </xdr:nvCxnSpPr>
      <xdr:spPr>
        <a:xfrm>
          <a:off x="7172152" y="301347447"/>
          <a:ext cx="381000" cy="4793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2948767</xdr:colOff>
      <xdr:row>998</xdr:row>
      <xdr:rowOff>292677</xdr:rowOff>
    </xdr:from>
    <xdr:to>
      <xdr:col>2</xdr:col>
      <xdr:colOff>3510742</xdr:colOff>
      <xdr:row>1001</xdr:row>
      <xdr:rowOff>53166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C132317-167F-4F22-9561-C45CE35F9D56}"/>
            </a:ext>
          </a:extLst>
        </xdr:cNvPr>
        <xdr:cNvCxnSpPr/>
      </xdr:nvCxnSpPr>
      <xdr:spPr>
        <a:xfrm>
          <a:off x="6972127" y="301366497"/>
          <a:ext cx="561975" cy="6520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2758267</xdr:colOff>
      <xdr:row>998</xdr:row>
      <xdr:rowOff>283152</xdr:rowOff>
    </xdr:from>
    <xdr:to>
      <xdr:col>2</xdr:col>
      <xdr:colOff>3377392</xdr:colOff>
      <xdr:row>1001</xdr:row>
      <xdr:rowOff>102696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66CECA3-6BC4-4384-BFE6-9BEE69BCEA2C}"/>
            </a:ext>
          </a:extLst>
        </xdr:cNvPr>
        <xdr:cNvCxnSpPr/>
      </xdr:nvCxnSpPr>
      <xdr:spPr>
        <a:xfrm>
          <a:off x="6781627" y="301356972"/>
          <a:ext cx="619125" cy="711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2539192</xdr:colOff>
      <xdr:row>999</xdr:row>
      <xdr:rowOff>159327</xdr:rowOff>
    </xdr:from>
    <xdr:to>
      <xdr:col>2</xdr:col>
      <xdr:colOff>2986867</xdr:colOff>
      <xdr:row>1001</xdr:row>
      <xdr:rowOff>91266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0FEB633-B363-406E-A954-03939FD55A4B}"/>
            </a:ext>
          </a:extLst>
        </xdr:cNvPr>
        <xdr:cNvCxnSpPr/>
      </xdr:nvCxnSpPr>
      <xdr:spPr>
        <a:xfrm>
          <a:off x="6562552" y="301530327"/>
          <a:ext cx="447675" cy="5262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2529667</xdr:colOff>
      <xdr:row>1000</xdr:row>
      <xdr:rowOff>53859</xdr:rowOff>
    </xdr:from>
    <xdr:to>
      <xdr:col>2</xdr:col>
      <xdr:colOff>2796367</xdr:colOff>
      <xdr:row>1001</xdr:row>
      <xdr:rowOff>91266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D04E82B-13D3-44BB-B662-19E71A023B39}"/>
            </a:ext>
          </a:extLst>
        </xdr:cNvPr>
        <xdr:cNvCxnSpPr/>
      </xdr:nvCxnSpPr>
      <xdr:spPr>
        <a:xfrm>
          <a:off x="6553027" y="301722039"/>
          <a:ext cx="266700" cy="3345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2596342</xdr:colOff>
      <xdr:row>999</xdr:row>
      <xdr:rowOff>14547</xdr:rowOff>
    </xdr:from>
    <xdr:to>
      <xdr:col>2</xdr:col>
      <xdr:colOff>3215467</xdr:colOff>
      <xdr:row>1001</xdr:row>
      <xdr:rowOff>131271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D64153A-4036-446E-9DF6-D6DD8B2CD456}"/>
            </a:ext>
          </a:extLst>
        </xdr:cNvPr>
        <xdr:cNvCxnSpPr/>
      </xdr:nvCxnSpPr>
      <xdr:spPr>
        <a:xfrm>
          <a:off x="6619702" y="301385547"/>
          <a:ext cx="619125" cy="711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1001</xdr:row>
      <xdr:rowOff>56974</xdr:rowOff>
    </xdr:from>
    <xdr:to>
      <xdr:col>4</xdr:col>
      <xdr:colOff>1135034</xdr:colOff>
      <xdr:row>1001</xdr:row>
      <xdr:rowOff>95076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2CA8E51-48E7-415C-B522-1984302806A3}"/>
            </a:ext>
          </a:extLst>
        </xdr:cNvPr>
        <xdr:cNvCxnSpPr/>
      </xdr:nvCxnSpPr>
      <xdr:spPr>
        <a:xfrm flipV="1">
          <a:off x="1112520" y="302022334"/>
          <a:ext cx="10195214" cy="38102"/>
        </a:xfrm>
        <a:prstGeom prst="straightConnector1">
          <a:avLst/>
        </a:prstGeom>
        <a:ln w="444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2012547</xdr:colOff>
      <xdr:row>993</xdr:row>
      <xdr:rowOff>0</xdr:rowOff>
    </xdr:from>
    <xdr:to>
      <xdr:col>2</xdr:col>
      <xdr:colOff>2022072</xdr:colOff>
      <xdr:row>1003</xdr:row>
      <xdr:rowOff>135946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E687ADE-C9AF-4A68-844D-FA58D98D26B4}"/>
            </a:ext>
          </a:extLst>
        </xdr:cNvPr>
        <xdr:cNvCxnSpPr/>
      </xdr:nvCxnSpPr>
      <xdr:spPr>
        <a:xfrm flipV="1">
          <a:off x="6035907" y="299587920"/>
          <a:ext cx="9525" cy="3107746"/>
        </a:xfrm>
        <a:prstGeom prst="straightConnector1">
          <a:avLst/>
        </a:prstGeom>
        <a:ln w="444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1770092</xdr:colOff>
      <xdr:row>998</xdr:row>
      <xdr:rowOff>218382</xdr:rowOff>
    </xdr:from>
    <xdr:to>
      <xdr:col>3</xdr:col>
      <xdr:colOff>1770092</xdr:colOff>
      <xdr:row>1001</xdr:row>
      <xdr:rowOff>45546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0EFBD67-F01C-410F-838C-4076F2E4F99D}"/>
            </a:ext>
          </a:extLst>
        </xdr:cNvPr>
        <xdr:cNvCxnSpPr/>
      </xdr:nvCxnSpPr>
      <xdr:spPr>
        <a:xfrm>
          <a:off x="9900632" y="301292202"/>
          <a:ext cx="0" cy="7187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984020</xdr:colOff>
      <xdr:row>1003</xdr:row>
      <xdr:rowOff>164177</xdr:rowOff>
    </xdr:from>
    <xdr:to>
      <xdr:col>3</xdr:col>
      <xdr:colOff>1841270</xdr:colOff>
      <xdr:row>1003</xdr:row>
      <xdr:rowOff>173701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D4AE2EA-04CA-41C6-B270-8E7580F3DD2F}"/>
            </a:ext>
          </a:extLst>
        </xdr:cNvPr>
        <xdr:cNvCxnSpPr/>
      </xdr:nvCxnSpPr>
      <xdr:spPr>
        <a:xfrm flipV="1">
          <a:off x="9114560" y="302723897"/>
          <a:ext cx="857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2482042</xdr:colOff>
      <xdr:row>1003</xdr:row>
      <xdr:rowOff>155171</xdr:rowOff>
    </xdr:from>
    <xdr:to>
      <xdr:col>3</xdr:col>
      <xdr:colOff>139760</xdr:colOff>
      <xdr:row>1003</xdr:row>
      <xdr:rowOff>165563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182B914-E441-48AB-97ED-FBC21E359B3A}"/>
            </a:ext>
          </a:extLst>
        </xdr:cNvPr>
        <xdr:cNvCxnSpPr/>
      </xdr:nvCxnSpPr>
      <xdr:spPr>
        <a:xfrm flipH="1" flipV="1">
          <a:off x="6505402" y="302714891"/>
          <a:ext cx="1764898" cy="103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289560</xdr:colOff>
      <xdr:row>1068</xdr:row>
      <xdr:rowOff>435386</xdr:rowOff>
    </xdr:from>
    <xdr:to>
      <xdr:col>6</xdr:col>
      <xdr:colOff>7620</xdr:colOff>
      <xdr:row>1081</xdr:row>
      <xdr:rowOff>289134</xdr:rowOff>
    </xdr:to>
    <xdr:pic>
      <xdr:nvPicPr>
        <xdr:cNvPr id="29" name="Picture 28" descr="Normal Distribution in Statistics - Statistics By Jim">
          <a:extLst>
            <a:ext uri="{FF2B5EF4-FFF2-40B4-BE49-F238E27FC236}">
              <a16:creationId xmlns:a16="http://schemas.microsoft.com/office/drawing/2014/main" id="{564DDEBB-81E2-4CD0-8CFF-91678948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22570886"/>
          <a:ext cx="5852160" cy="385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1099</xdr:row>
      <xdr:rowOff>222026</xdr:rowOff>
    </xdr:from>
    <xdr:to>
      <xdr:col>2</xdr:col>
      <xdr:colOff>3213100</xdr:colOff>
      <xdr:row>1112</xdr:row>
      <xdr:rowOff>212934</xdr:rowOff>
    </xdr:to>
    <xdr:pic>
      <xdr:nvPicPr>
        <xdr:cNvPr id="30" name="Picture 29" descr="Normal Distribution in Statistics - Statistics By Jim">
          <a:extLst>
            <a:ext uri="{FF2B5EF4-FFF2-40B4-BE49-F238E27FC236}">
              <a16:creationId xmlns:a16="http://schemas.microsoft.com/office/drawing/2014/main" id="{8E0E87FC-DC44-4F61-934D-EA67DF1A4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20" y="332255906"/>
          <a:ext cx="5852160" cy="385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281940</xdr:colOff>
      <xdr:row>1098</xdr:row>
      <xdr:rowOff>22860</xdr:rowOff>
    </xdr:from>
    <xdr:to>
      <xdr:col>2</xdr:col>
      <xdr:colOff>289560</xdr:colOff>
      <xdr:row>1114</xdr:row>
      <xdr:rowOff>38100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07D976F-2CA8-408D-B00A-6E0EC1B4E525}"/>
            </a:ext>
          </a:extLst>
        </xdr:cNvPr>
        <xdr:cNvCxnSpPr/>
      </xdr:nvCxnSpPr>
      <xdr:spPr>
        <a:xfrm flipH="1">
          <a:off x="4305300" y="331759560"/>
          <a:ext cx="7620" cy="4770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2243667</xdr:colOff>
      <xdr:row>912</xdr:row>
      <xdr:rowOff>0</xdr:rowOff>
    </xdr:from>
    <xdr:to>
      <xdr:col>8</xdr:col>
      <xdr:colOff>338667</xdr:colOff>
      <xdr:row>926</xdr:row>
      <xdr:rowOff>148166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AFE3B77-126C-720B-F5DD-0A7E95160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111</xdr:row>
      <xdr:rowOff>38100</xdr:rowOff>
    </xdr:from>
    <xdr:to>
      <xdr:col>2</xdr:col>
      <xdr:colOff>1805940</xdr:colOff>
      <xdr:row>111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7D8880D-EF26-4849-BAF5-E723823FA8E3}"/>
            </a:ext>
          </a:extLst>
        </xdr:cNvPr>
        <xdr:cNvCxnSpPr/>
      </xdr:nvCxnSpPr>
      <xdr:spPr>
        <a:xfrm>
          <a:off x="3337560" y="34381440"/>
          <a:ext cx="112776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464820</xdr:colOff>
      <xdr:row>83</xdr:row>
      <xdr:rowOff>38100</xdr:rowOff>
    </xdr:from>
    <xdr:to>
      <xdr:col>5</xdr:col>
      <xdr:colOff>1242060</xdr:colOff>
      <xdr:row>83</xdr:row>
      <xdr:rowOff>60960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39BB030-2A03-4127-AB64-EE1080808640}"/>
            </a:ext>
          </a:extLst>
        </xdr:cNvPr>
        <xdr:cNvCxnSpPr/>
      </xdr:nvCxnSpPr>
      <xdr:spPr>
        <a:xfrm flipV="1">
          <a:off x="6797040" y="25961340"/>
          <a:ext cx="2324100" cy="2286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150</xdr:row>
      <xdr:rowOff>175260</xdr:rowOff>
    </xdr:from>
    <xdr:to>
      <xdr:col>2</xdr:col>
      <xdr:colOff>1798320</xdr:colOff>
      <xdr:row>160</xdr:row>
      <xdr:rowOff>212065</xdr:rowOff>
    </xdr:to>
    <xdr:pic>
      <xdr:nvPicPr>
        <xdr:cNvPr id="3" name="Picture 2" descr="Confidence-Intervals - MAKE ME ANALYST">
          <a:extLst>
            <a:ext uri="{FF2B5EF4-FFF2-40B4-BE49-F238E27FC236}">
              <a16:creationId xmlns:a16="http://schemas.microsoft.com/office/drawing/2014/main" id="{2F31308A-0BF1-4F3E-8FC8-817A77157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6238160"/>
          <a:ext cx="4076700" cy="3008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2514600</xdr:colOff>
      <xdr:row>211</xdr:row>
      <xdr:rowOff>38100</xdr:rowOff>
    </xdr:from>
    <xdr:to>
      <xdr:col>3</xdr:col>
      <xdr:colOff>1066800</xdr:colOff>
      <xdr:row>211</xdr:row>
      <xdr:rowOff>45720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67EBBFE-2999-4D75-82A9-A9B8633EAF1F}"/>
            </a:ext>
          </a:extLst>
        </xdr:cNvPr>
        <xdr:cNvCxnSpPr/>
      </xdr:nvCxnSpPr>
      <xdr:spPr>
        <a:xfrm flipV="1">
          <a:off x="5173980" y="64228980"/>
          <a:ext cx="1089660" cy="762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1310640</xdr:colOff>
      <xdr:row>211</xdr:row>
      <xdr:rowOff>30480</xdr:rowOff>
    </xdr:from>
    <xdr:to>
      <xdr:col>3</xdr:col>
      <xdr:colOff>2468880</xdr:colOff>
      <xdr:row>211</xdr:row>
      <xdr:rowOff>53340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3D451FD-DF25-4FEB-8F6F-412B82EACF71}"/>
            </a:ext>
          </a:extLst>
        </xdr:cNvPr>
        <xdr:cNvCxnSpPr/>
      </xdr:nvCxnSpPr>
      <xdr:spPr>
        <a:xfrm>
          <a:off x="6507480" y="64221360"/>
          <a:ext cx="1158240" cy="2286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2796540</xdr:colOff>
      <xdr:row>211</xdr:row>
      <xdr:rowOff>30480</xdr:rowOff>
    </xdr:from>
    <xdr:to>
      <xdr:col>5</xdr:col>
      <xdr:colOff>403860</xdr:colOff>
      <xdr:row>211</xdr:row>
      <xdr:rowOff>45720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9D11929-F637-48B3-B0FC-84B0ABBF9C0E}"/>
            </a:ext>
          </a:extLst>
        </xdr:cNvPr>
        <xdr:cNvCxnSpPr/>
      </xdr:nvCxnSpPr>
      <xdr:spPr>
        <a:xfrm flipV="1">
          <a:off x="7993380" y="64221360"/>
          <a:ext cx="2049780" cy="1524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1821180</xdr:colOff>
      <xdr:row>235</xdr:row>
      <xdr:rowOff>53340</xdr:rowOff>
    </xdr:from>
    <xdr:to>
      <xdr:col>3</xdr:col>
      <xdr:colOff>762000</xdr:colOff>
      <xdr:row>235</xdr:row>
      <xdr:rowOff>53340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092E813-F260-4C8E-AA07-7E9201E1C43A}"/>
            </a:ext>
          </a:extLst>
        </xdr:cNvPr>
        <xdr:cNvCxnSpPr/>
      </xdr:nvCxnSpPr>
      <xdr:spPr>
        <a:xfrm>
          <a:off x="5105400" y="67680840"/>
          <a:ext cx="108204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1082040</xdr:colOff>
      <xdr:row>235</xdr:row>
      <xdr:rowOff>45720</xdr:rowOff>
    </xdr:from>
    <xdr:to>
      <xdr:col>4</xdr:col>
      <xdr:colOff>22860</xdr:colOff>
      <xdr:row>235</xdr:row>
      <xdr:rowOff>45720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71BD7D9-4C74-44F4-9EB0-16CD093B37C7}"/>
            </a:ext>
          </a:extLst>
        </xdr:cNvPr>
        <xdr:cNvCxnSpPr/>
      </xdr:nvCxnSpPr>
      <xdr:spPr>
        <a:xfrm>
          <a:off x="6507480" y="67673220"/>
          <a:ext cx="108204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235</xdr:row>
      <xdr:rowOff>45720</xdr:rowOff>
    </xdr:from>
    <xdr:to>
      <xdr:col>5</xdr:col>
      <xdr:colOff>289560</xdr:colOff>
      <xdr:row>235</xdr:row>
      <xdr:rowOff>45720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A43507B-8DAE-4F12-8E41-3458F73CA354}"/>
            </a:ext>
          </a:extLst>
        </xdr:cNvPr>
        <xdr:cNvCxnSpPr/>
      </xdr:nvCxnSpPr>
      <xdr:spPr>
        <a:xfrm>
          <a:off x="7909560" y="67673220"/>
          <a:ext cx="208788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144780</xdr:colOff>
      <xdr:row>240</xdr:row>
      <xdr:rowOff>83820</xdr:rowOff>
    </xdr:from>
    <xdr:to>
      <xdr:col>3</xdr:col>
      <xdr:colOff>248214</xdr:colOff>
      <xdr:row>250</xdr:row>
      <xdr:rowOff>114300</xdr:rowOff>
    </xdr:to>
    <xdr:pic>
      <xdr:nvPicPr>
        <xdr:cNvPr id="11" name="Picture 10" descr="Content - Calculating confidence intervals">
          <a:extLst>
            <a:ext uri="{FF2B5EF4-FFF2-40B4-BE49-F238E27FC236}">
              <a16:creationId xmlns:a16="http://schemas.microsoft.com/office/drawing/2014/main" id="{BDE98275-B5E8-4C0B-BB6C-05F8CA2B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" y="69197220"/>
          <a:ext cx="4477314" cy="3002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2484120</xdr:colOff>
      <xdr:row>284</xdr:row>
      <xdr:rowOff>38100</xdr:rowOff>
    </xdr:from>
    <xdr:to>
      <xdr:col>3</xdr:col>
      <xdr:colOff>1013460</xdr:colOff>
      <xdr:row>284</xdr:row>
      <xdr:rowOff>45720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564246E-3348-4E4F-835B-5C3250EFC9A2}"/>
            </a:ext>
          </a:extLst>
        </xdr:cNvPr>
        <xdr:cNvCxnSpPr/>
      </xdr:nvCxnSpPr>
      <xdr:spPr>
        <a:xfrm flipV="1">
          <a:off x="5143500" y="85923120"/>
          <a:ext cx="1066800" cy="762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1325880</xdr:colOff>
      <xdr:row>284</xdr:row>
      <xdr:rowOff>30480</xdr:rowOff>
    </xdr:from>
    <xdr:to>
      <xdr:col>3</xdr:col>
      <xdr:colOff>2499360</xdr:colOff>
      <xdr:row>284</xdr:row>
      <xdr:rowOff>53340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6CBC76F-47C2-4C89-8657-4E45B1161ECB}"/>
            </a:ext>
          </a:extLst>
        </xdr:cNvPr>
        <xdr:cNvCxnSpPr/>
      </xdr:nvCxnSpPr>
      <xdr:spPr>
        <a:xfrm>
          <a:off x="6522720" y="85915500"/>
          <a:ext cx="1173480" cy="2286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54</xdr:row>
      <xdr:rowOff>152400</xdr:rowOff>
    </xdr:from>
    <xdr:to>
      <xdr:col>12</xdr:col>
      <xdr:colOff>22860</xdr:colOff>
      <xdr:row>69</xdr:row>
      <xdr:rowOff>74905</xdr:rowOff>
    </xdr:to>
    <xdr:pic>
      <xdr:nvPicPr>
        <xdr:cNvPr id="2" name="Picture 1" descr="Confidence-Intervals - MAKE ME ANALYST">
          <a:extLst>
            <a:ext uri="{FF2B5EF4-FFF2-40B4-BE49-F238E27FC236}">
              <a16:creationId xmlns:a16="http://schemas.microsoft.com/office/drawing/2014/main" id="{A69C11B6-4ECD-4B1F-85BD-48DB4AC6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8760" y="16299180"/>
          <a:ext cx="4076700" cy="3008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403860</xdr:colOff>
      <xdr:row>63</xdr:row>
      <xdr:rowOff>152400</xdr:rowOff>
    </xdr:from>
    <xdr:to>
      <xdr:col>8</xdr:col>
      <xdr:colOff>472440</xdr:colOff>
      <xdr:row>63</xdr:row>
      <xdr:rowOff>198120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F8D5152-E2BD-4D1F-BAAB-8C58A5610AFE}"/>
            </a:ext>
          </a:extLst>
        </xdr:cNvPr>
        <xdr:cNvSpPr/>
      </xdr:nvSpPr>
      <xdr:spPr>
        <a:xfrm flipH="1">
          <a:off x="14310360" y="18973800"/>
          <a:ext cx="68580" cy="457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441960</xdr:colOff>
      <xdr:row>63</xdr:row>
      <xdr:rowOff>190500</xdr:rowOff>
    </xdr:from>
    <xdr:to>
      <xdr:col>9</xdr:col>
      <xdr:colOff>213360</xdr:colOff>
      <xdr:row>65</xdr:row>
      <xdr:rowOff>30480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0641DB8-836E-4663-A03D-01AC83936C48}"/>
            </a:ext>
          </a:extLst>
        </xdr:cNvPr>
        <xdr:cNvCxnSpPr/>
      </xdr:nvCxnSpPr>
      <xdr:spPr>
        <a:xfrm>
          <a:off x="14348460" y="19011900"/>
          <a:ext cx="66294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441960</xdr:colOff>
      <xdr:row>86</xdr:row>
      <xdr:rowOff>0</xdr:rowOff>
    </xdr:from>
    <xdr:to>
      <xdr:col>11</xdr:col>
      <xdr:colOff>565404</xdr:colOff>
      <xdr:row>97</xdr:row>
      <xdr:rowOff>266700</xdr:rowOff>
    </xdr:to>
    <xdr:pic>
      <xdr:nvPicPr>
        <xdr:cNvPr id="5" name="Picture 4" descr="One and Two Tailed Tests - Mathematics A-Level Revision">
          <a:extLst>
            <a:ext uri="{FF2B5EF4-FFF2-40B4-BE49-F238E27FC236}">
              <a16:creationId xmlns:a16="http://schemas.microsoft.com/office/drawing/2014/main" id="{D1432330-0C27-4D7A-9D14-F311078A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2120" y="25687020"/>
          <a:ext cx="3796284" cy="2506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411480</xdr:colOff>
      <xdr:row>60</xdr:row>
      <xdr:rowOff>251460</xdr:rowOff>
    </xdr:from>
    <xdr:to>
      <xdr:col>8</xdr:col>
      <xdr:colOff>441960</xdr:colOff>
      <xdr:row>65</xdr:row>
      <xdr:rowOff>259080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E0A2B75-03F9-4B65-BCC4-41546CD35A13}"/>
            </a:ext>
          </a:extLst>
        </xdr:cNvPr>
        <xdr:cNvCxnSpPr/>
      </xdr:nvCxnSpPr>
      <xdr:spPr>
        <a:xfrm>
          <a:off x="14317980" y="18181320"/>
          <a:ext cx="30480" cy="1493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15240</xdr:colOff>
      <xdr:row>122</xdr:row>
      <xdr:rowOff>0</xdr:rowOff>
    </xdr:from>
    <xdr:to>
      <xdr:col>23</xdr:col>
      <xdr:colOff>68580</xdr:colOff>
      <xdr:row>145</xdr:row>
      <xdr:rowOff>205740</xdr:rowOff>
    </xdr:to>
    <xdr:pic>
      <xdr:nvPicPr>
        <xdr:cNvPr id="31" name="Picture 30" descr="The Standard Normal Distribution | Examples, Explanations, Uses">
          <a:extLst>
            <a:ext uri="{FF2B5EF4-FFF2-40B4-BE49-F238E27FC236}">
              <a16:creationId xmlns:a16="http://schemas.microsoft.com/office/drawing/2014/main" id="{AC769E28-1DCE-4C6D-B9A9-5377C163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1740" y="133388100"/>
          <a:ext cx="9753600" cy="602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48503</xdr:rowOff>
    </xdr:from>
    <xdr:to>
      <xdr:col>3</xdr:col>
      <xdr:colOff>2369820</xdr:colOff>
      <xdr:row>135</xdr:row>
      <xdr:rowOff>236220</xdr:rowOff>
    </xdr:to>
    <xdr:pic>
      <xdr:nvPicPr>
        <xdr:cNvPr id="7" name="Picture 6" descr="Tailed Test - an overview | ScienceDirect Topics">
          <a:extLst>
            <a:ext uri="{FF2B5EF4-FFF2-40B4-BE49-F238E27FC236}">
              <a16:creationId xmlns:a16="http://schemas.microsoft.com/office/drawing/2014/main" id="{3C874102-54D9-4B88-BDAC-BCECBF4C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4948103"/>
          <a:ext cx="6393180" cy="2862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419100</xdr:colOff>
      <xdr:row>148</xdr:row>
      <xdr:rowOff>152400</xdr:rowOff>
    </xdr:from>
    <xdr:to>
      <xdr:col>3</xdr:col>
      <xdr:colOff>192024</xdr:colOff>
      <xdr:row>156</xdr:row>
      <xdr:rowOff>281940</xdr:rowOff>
    </xdr:to>
    <xdr:pic>
      <xdr:nvPicPr>
        <xdr:cNvPr id="8" name="Picture 7" descr="One and Two Tailed Tests - Mathematics A-Level Revision">
          <a:extLst>
            <a:ext uri="{FF2B5EF4-FFF2-40B4-BE49-F238E27FC236}">
              <a16:creationId xmlns:a16="http://schemas.microsoft.com/office/drawing/2014/main" id="{0D52A755-13D3-4822-A8FC-BB567141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41589960"/>
          <a:ext cx="3796284" cy="2506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891540</xdr:colOff>
      <xdr:row>154</xdr:row>
      <xdr:rowOff>53340</xdr:rowOff>
    </xdr:from>
    <xdr:to>
      <xdr:col>1</xdr:col>
      <xdr:colOff>975360</xdr:colOff>
      <xdr:row>154</xdr:row>
      <xdr:rowOff>152400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932F725-EEC9-48F3-AD64-4364143D60CF}"/>
            </a:ext>
          </a:extLst>
        </xdr:cNvPr>
        <xdr:cNvSpPr/>
      </xdr:nvSpPr>
      <xdr:spPr>
        <a:xfrm rot="5400000" flipH="1" flipV="1">
          <a:off x="1760220" y="43281600"/>
          <a:ext cx="99060" cy="838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906780</xdr:colOff>
      <xdr:row>154</xdr:row>
      <xdr:rowOff>99060</xdr:rowOff>
    </xdr:from>
    <xdr:to>
      <xdr:col>4</xdr:col>
      <xdr:colOff>457200</xdr:colOff>
      <xdr:row>158</xdr:row>
      <xdr:rowOff>53340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5EECE3E-AA97-4FF6-BFC6-2A1EA4BF5B1B}"/>
            </a:ext>
          </a:extLst>
        </xdr:cNvPr>
        <xdr:cNvCxnSpPr/>
      </xdr:nvCxnSpPr>
      <xdr:spPr>
        <a:xfrm>
          <a:off x="1783080" y="43319700"/>
          <a:ext cx="547878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487680</xdr:colOff>
      <xdr:row>154</xdr:row>
      <xdr:rowOff>53340</xdr:rowOff>
    </xdr:from>
    <xdr:to>
      <xdr:col>1</xdr:col>
      <xdr:colOff>571500</xdr:colOff>
      <xdr:row>154</xdr:row>
      <xdr:rowOff>152400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B97433C-C87C-4502-BBC2-0A8D5EB9D02C}"/>
            </a:ext>
          </a:extLst>
        </xdr:cNvPr>
        <xdr:cNvSpPr/>
      </xdr:nvSpPr>
      <xdr:spPr>
        <a:xfrm rot="5400000" flipH="1" flipV="1">
          <a:off x="1356360" y="43281600"/>
          <a:ext cx="99060" cy="838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533400</xdr:colOff>
      <xdr:row>154</xdr:row>
      <xdr:rowOff>106680</xdr:rowOff>
    </xdr:from>
    <xdr:to>
      <xdr:col>3</xdr:col>
      <xdr:colOff>160020</xdr:colOff>
      <xdr:row>157</xdr:row>
      <xdr:rowOff>99060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B557B2B-A0AF-47AC-9A2B-FFCAAC1C1924}"/>
            </a:ext>
          </a:extLst>
        </xdr:cNvPr>
        <xdr:cNvCxnSpPr/>
      </xdr:nvCxnSpPr>
      <xdr:spPr>
        <a:xfrm>
          <a:off x="1409700" y="43327320"/>
          <a:ext cx="3314700" cy="883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518160</xdr:colOff>
      <xdr:row>151</xdr:row>
      <xdr:rowOff>137160</xdr:rowOff>
    </xdr:from>
    <xdr:to>
      <xdr:col>1</xdr:col>
      <xdr:colOff>525780</xdr:colOff>
      <xdr:row>157</xdr:row>
      <xdr:rowOff>60960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650133C-9D11-45B2-B694-BE02AAB9D895}"/>
            </a:ext>
          </a:extLst>
        </xdr:cNvPr>
        <xdr:cNvCxnSpPr/>
      </xdr:nvCxnSpPr>
      <xdr:spPr>
        <a:xfrm>
          <a:off x="1394460" y="42466260"/>
          <a:ext cx="7620" cy="1706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183</xdr:row>
      <xdr:rowOff>45720</xdr:rowOff>
    </xdr:from>
    <xdr:to>
      <xdr:col>3</xdr:col>
      <xdr:colOff>1341120</xdr:colOff>
      <xdr:row>183</xdr:row>
      <xdr:rowOff>53340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AB32C96-826C-46DF-8D8A-7318E2F617DA}"/>
            </a:ext>
          </a:extLst>
        </xdr:cNvPr>
        <xdr:cNvCxnSpPr/>
      </xdr:nvCxnSpPr>
      <xdr:spPr>
        <a:xfrm flipV="1">
          <a:off x="5577840" y="57134760"/>
          <a:ext cx="1051560" cy="762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1661160</xdr:colOff>
      <xdr:row>183</xdr:row>
      <xdr:rowOff>45720</xdr:rowOff>
    </xdr:from>
    <xdr:to>
      <xdr:col>4</xdr:col>
      <xdr:colOff>419100</xdr:colOff>
      <xdr:row>183</xdr:row>
      <xdr:rowOff>45720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C36C19E-B714-4B3D-B862-66A63B94B0A8}"/>
            </a:ext>
          </a:extLst>
        </xdr:cNvPr>
        <xdr:cNvCxnSpPr/>
      </xdr:nvCxnSpPr>
      <xdr:spPr>
        <a:xfrm>
          <a:off x="6949440" y="57134760"/>
          <a:ext cx="113538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769620</xdr:colOff>
      <xdr:row>189</xdr:row>
      <xdr:rowOff>213360</xdr:rowOff>
    </xdr:from>
    <xdr:to>
      <xdr:col>3</xdr:col>
      <xdr:colOff>1974504</xdr:colOff>
      <xdr:row>195</xdr:row>
      <xdr:rowOff>30480</xdr:rowOff>
    </xdr:to>
    <xdr:pic>
      <xdr:nvPicPr>
        <xdr:cNvPr id="16" name="Picture 15" descr="MA238 Assignment 5 Solutions">
          <a:extLst>
            <a:ext uri="{FF2B5EF4-FFF2-40B4-BE49-F238E27FC236}">
              <a16:creationId xmlns:a16="http://schemas.microsoft.com/office/drawing/2014/main" id="{651DC8E6-9024-4BDC-8ABF-8115A4C60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8560" y="58788300"/>
          <a:ext cx="321656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1493520</xdr:colOff>
      <xdr:row>193</xdr:row>
      <xdr:rowOff>243840</xdr:rowOff>
    </xdr:from>
    <xdr:to>
      <xdr:col>2</xdr:col>
      <xdr:colOff>1577340</xdr:colOff>
      <xdr:row>194</xdr:row>
      <xdr:rowOff>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0B9A099-92D1-4600-8B34-321E84E7AA50}"/>
            </a:ext>
          </a:extLst>
        </xdr:cNvPr>
        <xdr:cNvSpPr/>
      </xdr:nvSpPr>
      <xdr:spPr>
        <a:xfrm>
          <a:off x="4442460" y="60007500"/>
          <a:ext cx="83820" cy="533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1577340</xdr:colOff>
      <xdr:row>193</xdr:row>
      <xdr:rowOff>270510</xdr:rowOff>
    </xdr:from>
    <xdr:to>
      <xdr:col>4</xdr:col>
      <xdr:colOff>259080</xdr:colOff>
      <xdr:row>197</xdr:row>
      <xdr:rowOff>76200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1734079-72E4-469D-AE50-57668ADF51B4}"/>
            </a:ext>
          </a:extLst>
        </xdr:cNvPr>
        <xdr:cNvCxnSpPr>
          <a:stCxn id="17" idx="6"/>
        </xdr:cNvCxnSpPr>
      </xdr:nvCxnSpPr>
      <xdr:spPr>
        <a:xfrm>
          <a:off x="4526280" y="60034170"/>
          <a:ext cx="2537460" cy="994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2004060</xdr:colOff>
      <xdr:row>193</xdr:row>
      <xdr:rowOff>220980</xdr:rowOff>
    </xdr:from>
    <xdr:to>
      <xdr:col>3</xdr:col>
      <xdr:colOff>99060</xdr:colOff>
      <xdr:row>194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09225C1-604E-4380-AAF0-DA8F25CEF6DE}"/>
            </a:ext>
          </a:extLst>
        </xdr:cNvPr>
        <xdr:cNvSpPr/>
      </xdr:nvSpPr>
      <xdr:spPr>
        <a:xfrm flipV="1">
          <a:off x="5280660" y="60281820"/>
          <a:ext cx="106680" cy="76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1927860</xdr:colOff>
      <xdr:row>193</xdr:row>
      <xdr:rowOff>259080</xdr:rowOff>
    </xdr:from>
    <xdr:to>
      <xdr:col>4</xdr:col>
      <xdr:colOff>1584960</xdr:colOff>
      <xdr:row>197</xdr:row>
      <xdr:rowOff>15240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E15F3EB-661C-462E-9868-9F0502D3B950}"/>
            </a:ext>
          </a:extLst>
        </xdr:cNvPr>
        <xdr:cNvCxnSpPr/>
      </xdr:nvCxnSpPr>
      <xdr:spPr>
        <a:xfrm>
          <a:off x="5204460" y="60319920"/>
          <a:ext cx="4046220" cy="944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1600200</xdr:colOff>
      <xdr:row>193</xdr:row>
      <xdr:rowOff>167640</xdr:rowOff>
    </xdr:from>
    <xdr:to>
      <xdr:col>2</xdr:col>
      <xdr:colOff>1470660</xdr:colOff>
      <xdr:row>196</xdr:row>
      <xdr:rowOff>289560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F1D3610-A1F6-4B9D-9720-B443DB46E2E7}"/>
            </a:ext>
          </a:extLst>
        </xdr:cNvPr>
        <xdr:cNvCxnSpPr/>
      </xdr:nvCxnSpPr>
      <xdr:spPr>
        <a:xfrm flipV="1">
          <a:off x="2476500" y="59931300"/>
          <a:ext cx="1943100" cy="1013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221</xdr:row>
      <xdr:rowOff>0</xdr:rowOff>
    </xdr:from>
    <xdr:to>
      <xdr:col>3</xdr:col>
      <xdr:colOff>2202180</xdr:colOff>
      <xdr:row>229</xdr:row>
      <xdr:rowOff>185992</xdr:rowOff>
    </xdr:to>
    <xdr:pic>
      <xdr:nvPicPr>
        <xdr:cNvPr id="22" name="Picture 21" descr="Hypothesis Testing: Upper-, Lower, and Two Tailed Tests">
          <a:extLst>
            <a:ext uri="{FF2B5EF4-FFF2-40B4-BE49-F238E27FC236}">
              <a16:creationId xmlns:a16="http://schemas.microsoft.com/office/drawing/2014/main" id="{987C7B97-71DA-495B-AF46-4ECA3D8C3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8940" y="68084700"/>
          <a:ext cx="4213860" cy="2563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1028700</xdr:colOff>
      <xdr:row>228</xdr:row>
      <xdr:rowOff>220980</xdr:rowOff>
    </xdr:from>
    <xdr:to>
      <xdr:col>4</xdr:col>
      <xdr:colOff>30480</xdr:colOff>
      <xdr:row>230</xdr:row>
      <xdr:rowOff>45720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C743EDE-86BB-4B0F-AE39-343C98C8B0DC}"/>
            </a:ext>
          </a:extLst>
        </xdr:cNvPr>
        <xdr:cNvCxnSpPr/>
      </xdr:nvCxnSpPr>
      <xdr:spPr>
        <a:xfrm>
          <a:off x="5593080" y="70385940"/>
          <a:ext cx="124206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1021080</xdr:colOff>
      <xdr:row>219</xdr:row>
      <xdr:rowOff>205740</xdr:rowOff>
    </xdr:from>
    <xdr:to>
      <xdr:col>3</xdr:col>
      <xdr:colOff>1051560</xdr:colOff>
      <xdr:row>232</xdr:row>
      <xdr:rowOff>160020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307A55E-6E73-434F-A723-30A6E39A49BC}"/>
            </a:ext>
          </a:extLst>
        </xdr:cNvPr>
        <xdr:cNvCxnSpPr/>
      </xdr:nvCxnSpPr>
      <xdr:spPr>
        <a:xfrm>
          <a:off x="5585460" y="67696080"/>
          <a:ext cx="30480" cy="381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297180</xdr:colOff>
      <xdr:row>251</xdr:row>
      <xdr:rowOff>243840</xdr:rowOff>
    </xdr:from>
    <xdr:to>
      <xdr:col>3</xdr:col>
      <xdr:colOff>632460</xdr:colOff>
      <xdr:row>261</xdr:row>
      <xdr:rowOff>173577</xdr:rowOff>
    </xdr:to>
    <xdr:pic>
      <xdr:nvPicPr>
        <xdr:cNvPr id="25" name="Picture 24" descr="One-Tailed and Two-Tailed Hypothesis Tests Explained - Statistics By Jim">
          <a:extLst>
            <a:ext uri="{FF2B5EF4-FFF2-40B4-BE49-F238E27FC236}">
              <a16:creationId xmlns:a16="http://schemas.microsoft.com/office/drawing/2014/main" id="{1BFEBBB4-507E-4891-B093-6F50608D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" y="77541120"/>
          <a:ext cx="4358640" cy="2901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228600</xdr:colOff>
      <xdr:row>260</xdr:row>
      <xdr:rowOff>99060</xdr:rowOff>
    </xdr:from>
    <xdr:to>
      <xdr:col>3</xdr:col>
      <xdr:colOff>213360</xdr:colOff>
      <xdr:row>262</xdr:row>
      <xdr:rowOff>121920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F26D3E9-768D-44BC-94FE-59D353A8F285}"/>
            </a:ext>
          </a:extLst>
        </xdr:cNvPr>
        <xdr:cNvCxnSpPr/>
      </xdr:nvCxnSpPr>
      <xdr:spPr>
        <a:xfrm>
          <a:off x="3177540" y="80070960"/>
          <a:ext cx="160020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990600</xdr:colOff>
      <xdr:row>337</xdr:row>
      <xdr:rowOff>38100</xdr:rowOff>
    </xdr:from>
    <xdr:to>
      <xdr:col>1</xdr:col>
      <xdr:colOff>990600</xdr:colOff>
      <xdr:row>338</xdr:row>
      <xdr:rowOff>83820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93C6151-1D81-40F3-8B13-B754164336AD}"/>
            </a:ext>
          </a:extLst>
        </xdr:cNvPr>
        <xdr:cNvCxnSpPr/>
      </xdr:nvCxnSpPr>
      <xdr:spPr>
        <a:xfrm>
          <a:off x="1866900" y="9845040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815340</xdr:colOff>
      <xdr:row>337</xdr:row>
      <xdr:rowOff>0</xdr:rowOff>
    </xdr:from>
    <xdr:to>
      <xdr:col>2</xdr:col>
      <xdr:colOff>815340</xdr:colOff>
      <xdr:row>337</xdr:row>
      <xdr:rowOff>289560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2D09F11-9795-4981-B725-AA21E5313329}"/>
            </a:ext>
          </a:extLst>
        </xdr:cNvPr>
        <xdr:cNvCxnSpPr/>
      </xdr:nvCxnSpPr>
      <xdr:spPr>
        <a:xfrm flipV="1">
          <a:off x="3764280" y="9841230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861060</xdr:colOff>
      <xdr:row>337</xdr:row>
      <xdr:rowOff>15240</xdr:rowOff>
    </xdr:from>
    <xdr:to>
      <xdr:col>3</xdr:col>
      <xdr:colOff>861060</xdr:colOff>
      <xdr:row>338</xdr:row>
      <xdr:rowOff>7620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903EF3C8-1E48-40D5-B21F-E1DECF084DD6}"/>
            </a:ext>
          </a:extLst>
        </xdr:cNvPr>
        <xdr:cNvCxnSpPr/>
      </xdr:nvCxnSpPr>
      <xdr:spPr>
        <a:xfrm flipV="1">
          <a:off x="5425440" y="9842754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670560</xdr:colOff>
      <xdr:row>337</xdr:row>
      <xdr:rowOff>0</xdr:rowOff>
    </xdr:from>
    <xdr:to>
      <xdr:col>4</xdr:col>
      <xdr:colOff>670560</xdr:colOff>
      <xdr:row>338</xdr:row>
      <xdr:rowOff>45720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02CDC4F-1CC9-496F-8735-1955294768A8}"/>
            </a:ext>
          </a:extLst>
        </xdr:cNvPr>
        <xdr:cNvCxnSpPr/>
      </xdr:nvCxnSpPr>
      <xdr:spPr>
        <a:xfrm>
          <a:off x="7475220" y="9841230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1348740</xdr:colOff>
      <xdr:row>338</xdr:row>
      <xdr:rowOff>0</xdr:rowOff>
    </xdr:from>
    <xdr:to>
      <xdr:col>1</xdr:col>
      <xdr:colOff>1348740</xdr:colOff>
      <xdr:row>338</xdr:row>
      <xdr:rowOff>289560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1AA6938-A3E6-467F-9CA8-DF5B98486E7C}"/>
            </a:ext>
          </a:extLst>
        </xdr:cNvPr>
        <xdr:cNvCxnSpPr/>
      </xdr:nvCxnSpPr>
      <xdr:spPr>
        <a:xfrm flipV="1">
          <a:off x="2225040" y="9870948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861060</xdr:colOff>
      <xdr:row>338</xdr:row>
      <xdr:rowOff>15240</xdr:rowOff>
    </xdr:from>
    <xdr:to>
      <xdr:col>4</xdr:col>
      <xdr:colOff>861060</xdr:colOff>
      <xdr:row>339</xdr:row>
      <xdr:rowOff>7620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40FC3B1-C63A-4FBC-BD5C-171D27499320}"/>
            </a:ext>
          </a:extLst>
        </xdr:cNvPr>
        <xdr:cNvCxnSpPr/>
      </xdr:nvCxnSpPr>
      <xdr:spPr>
        <a:xfrm flipV="1">
          <a:off x="7665720" y="9872472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990600</xdr:colOff>
      <xdr:row>337</xdr:row>
      <xdr:rowOff>289560</xdr:rowOff>
    </xdr:from>
    <xdr:to>
      <xdr:col>2</xdr:col>
      <xdr:colOff>990600</xdr:colOff>
      <xdr:row>339</xdr:row>
      <xdr:rowOff>38100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3D54997-CCF3-48DE-ADC8-ABC135E25F06}"/>
            </a:ext>
          </a:extLst>
        </xdr:cNvPr>
        <xdr:cNvCxnSpPr/>
      </xdr:nvCxnSpPr>
      <xdr:spPr>
        <a:xfrm>
          <a:off x="3939540" y="9870186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1272540</xdr:colOff>
      <xdr:row>337</xdr:row>
      <xdr:rowOff>281940</xdr:rowOff>
    </xdr:from>
    <xdr:to>
      <xdr:col>3</xdr:col>
      <xdr:colOff>1272540</xdr:colOff>
      <xdr:row>339</xdr:row>
      <xdr:rowOff>30480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8E199003-7341-4475-8686-732055F128F1}"/>
            </a:ext>
          </a:extLst>
        </xdr:cNvPr>
        <xdr:cNvCxnSpPr/>
      </xdr:nvCxnSpPr>
      <xdr:spPr>
        <a:xfrm>
          <a:off x="5836920" y="98694240"/>
          <a:ext cx="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411480</xdr:colOff>
      <xdr:row>400</xdr:row>
      <xdr:rowOff>0</xdr:rowOff>
    </xdr:from>
    <xdr:to>
      <xdr:col>4</xdr:col>
      <xdr:colOff>53340</xdr:colOff>
      <xdr:row>408</xdr:row>
      <xdr:rowOff>131987</xdr:rowOff>
    </xdr:to>
    <xdr:pic>
      <xdr:nvPicPr>
        <xdr:cNvPr id="36" name="Picture 35" descr="The Chi Square Distribution">
          <a:extLst>
            <a:ext uri="{FF2B5EF4-FFF2-40B4-BE49-F238E27FC236}">
              <a16:creationId xmlns:a16="http://schemas.microsoft.com/office/drawing/2014/main" id="{A88A35A4-62B9-4062-B1FF-D4F40C828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118833900"/>
          <a:ext cx="4030980" cy="250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792480</xdr:colOff>
      <xdr:row>406</xdr:row>
      <xdr:rowOff>45720</xdr:rowOff>
    </xdr:from>
    <xdr:to>
      <xdr:col>3</xdr:col>
      <xdr:colOff>1844040</xdr:colOff>
      <xdr:row>409</xdr:row>
      <xdr:rowOff>91440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384F40E-18A5-4B7A-A82F-41860A1D3C2A}"/>
            </a:ext>
          </a:extLst>
        </xdr:cNvPr>
        <xdr:cNvCxnSpPr/>
      </xdr:nvCxnSpPr>
      <xdr:spPr>
        <a:xfrm>
          <a:off x="6080760" y="128686560"/>
          <a:ext cx="1051560" cy="937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1813560</xdr:colOff>
      <xdr:row>406</xdr:row>
      <xdr:rowOff>0</xdr:rowOff>
    </xdr:from>
    <xdr:to>
      <xdr:col>4</xdr:col>
      <xdr:colOff>1623060</xdr:colOff>
      <xdr:row>409</xdr:row>
      <xdr:rowOff>99060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489388CA-A947-455A-B1A5-28E3D2E61022}"/>
            </a:ext>
          </a:extLst>
        </xdr:cNvPr>
        <xdr:cNvCxnSpPr/>
      </xdr:nvCxnSpPr>
      <xdr:spPr>
        <a:xfrm>
          <a:off x="6377940" y="120616980"/>
          <a:ext cx="204978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606</xdr:row>
      <xdr:rowOff>0</xdr:rowOff>
    </xdr:from>
    <xdr:to>
      <xdr:col>3</xdr:col>
      <xdr:colOff>2019300</xdr:colOff>
      <xdr:row>614</xdr:row>
      <xdr:rowOff>131987</xdr:rowOff>
    </xdr:to>
    <xdr:pic>
      <xdr:nvPicPr>
        <xdr:cNvPr id="41" name="Picture 40" descr="The Chi Square Distribution">
          <a:extLst>
            <a:ext uri="{FF2B5EF4-FFF2-40B4-BE49-F238E27FC236}">
              <a16:creationId xmlns:a16="http://schemas.microsoft.com/office/drawing/2014/main" id="{520FD57F-D772-4582-BB9F-C14BB9C0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8940" y="182765700"/>
          <a:ext cx="4030980" cy="250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426720</xdr:colOff>
      <xdr:row>612</xdr:row>
      <xdr:rowOff>38100</xdr:rowOff>
    </xdr:from>
    <xdr:to>
      <xdr:col>4</xdr:col>
      <xdr:colOff>129540</xdr:colOff>
      <xdr:row>615</xdr:row>
      <xdr:rowOff>68580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C0B2363B-A9F0-4B24-ACE9-E149A1A857E2}"/>
            </a:ext>
          </a:extLst>
        </xdr:cNvPr>
        <xdr:cNvCxnSpPr/>
      </xdr:nvCxnSpPr>
      <xdr:spPr>
        <a:xfrm>
          <a:off x="5715000" y="192610740"/>
          <a:ext cx="208026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612</xdr:row>
      <xdr:rowOff>22860</xdr:rowOff>
    </xdr:from>
    <xdr:to>
      <xdr:col>3</xdr:col>
      <xdr:colOff>419100</xdr:colOff>
      <xdr:row>615</xdr:row>
      <xdr:rowOff>76200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4BB1F63-2885-4350-A319-968A45880AC8}"/>
            </a:ext>
          </a:extLst>
        </xdr:cNvPr>
        <xdr:cNvCxnSpPr/>
      </xdr:nvCxnSpPr>
      <xdr:spPr>
        <a:xfrm>
          <a:off x="4869180" y="184571640"/>
          <a:ext cx="114300" cy="944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683</xdr:row>
      <xdr:rowOff>0</xdr:rowOff>
    </xdr:from>
    <xdr:ext cx="4030980" cy="2509427"/>
    <xdr:pic>
      <xdr:nvPicPr>
        <xdr:cNvPr id="44" name="Picture 43" descr="The Chi Square Distribution">
          <a:extLst>
            <a:ext uri="{FF2B5EF4-FFF2-40B4-BE49-F238E27FC236}">
              <a16:creationId xmlns:a16="http://schemas.microsoft.com/office/drawing/2014/main" id="{03D8C4AA-4FB6-47DC-A275-3F71A2C9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8940" y="206837280"/>
          <a:ext cx="4030980" cy="2509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388620</xdr:colOff>
      <xdr:row>689</xdr:row>
      <xdr:rowOff>38100</xdr:rowOff>
    </xdr:from>
    <xdr:to>
      <xdr:col>4</xdr:col>
      <xdr:colOff>91440</xdr:colOff>
      <xdr:row>692</xdr:row>
      <xdr:rowOff>68580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B643A94-5AA3-471E-9D11-54C2C369E11C}"/>
            </a:ext>
          </a:extLst>
        </xdr:cNvPr>
        <xdr:cNvCxnSpPr/>
      </xdr:nvCxnSpPr>
      <xdr:spPr>
        <a:xfrm>
          <a:off x="5676900" y="216682320"/>
          <a:ext cx="208026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967740</xdr:colOff>
      <xdr:row>689</xdr:row>
      <xdr:rowOff>45720</xdr:rowOff>
    </xdr:from>
    <xdr:to>
      <xdr:col>3</xdr:col>
      <xdr:colOff>419100</xdr:colOff>
      <xdr:row>692</xdr:row>
      <xdr:rowOff>76200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7A50BF5D-47FD-4E29-A928-75A0C69CC6D0}"/>
            </a:ext>
          </a:extLst>
        </xdr:cNvPr>
        <xdr:cNvCxnSpPr/>
      </xdr:nvCxnSpPr>
      <xdr:spPr>
        <a:xfrm>
          <a:off x="3916680" y="208666080"/>
          <a:ext cx="106680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576</xdr:row>
      <xdr:rowOff>281940</xdr:rowOff>
    </xdr:from>
    <xdr:to>
      <xdr:col>11</xdr:col>
      <xdr:colOff>304800</xdr:colOff>
      <xdr:row>585</xdr:row>
      <xdr:rowOff>251460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2A955357-A68F-AB11-AAAF-28F3C800C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68580</xdr:colOff>
      <xdr:row>586</xdr:row>
      <xdr:rowOff>38100</xdr:rowOff>
    </xdr:from>
    <xdr:to>
      <xdr:col>11</xdr:col>
      <xdr:colOff>327660</xdr:colOff>
      <xdr:row>596</xdr:row>
      <xdr:rowOff>137160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20CAAF7-6846-656D-6703-D7C2B89A9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53340</xdr:colOff>
      <xdr:row>652</xdr:row>
      <xdr:rowOff>281940</xdr:rowOff>
    </xdr:from>
    <xdr:to>
      <xdr:col>8</xdr:col>
      <xdr:colOff>38100</xdr:colOff>
      <xdr:row>660</xdr:row>
      <xdr:rowOff>53340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695F8FC7-F73B-5792-20A1-35EBA50D1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6</xdr:col>
      <xdr:colOff>731520</xdr:colOff>
      <xdr:row>307</xdr:row>
      <xdr:rowOff>15241</xdr:rowOff>
    </xdr:from>
    <xdr:to>
      <xdr:col>12</xdr:col>
      <xdr:colOff>422236</xdr:colOff>
      <xdr:row>312</xdr:row>
      <xdr:rowOff>116985</xdr:rowOff>
    </xdr:to>
    <xdr:pic>
      <xdr:nvPicPr>
        <xdr:cNvPr id="47" name="Picture 46" descr="Tailed Test - an overview | ScienceDirect Topics">
          <a:extLst>
            <a:ext uri="{FF2B5EF4-FFF2-40B4-BE49-F238E27FC236}">
              <a16:creationId xmlns:a16="http://schemas.microsoft.com/office/drawing/2014/main" id="{61759B12-DE7B-33B1-D671-645005315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1520" y="95143321"/>
          <a:ext cx="5253316" cy="2776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7620</xdr:colOff>
      <xdr:row>311</xdr:row>
      <xdr:rowOff>205740</xdr:rowOff>
    </xdr:from>
    <xdr:to>
      <xdr:col>12</xdr:col>
      <xdr:colOff>68580</xdr:colOff>
      <xdr:row>314</xdr:row>
      <xdr:rowOff>236220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50AD7455-8747-2A65-D8F6-C7B8CFC50536}"/>
            </a:ext>
          </a:extLst>
        </xdr:cNvPr>
        <xdr:cNvCxnSpPr/>
      </xdr:nvCxnSpPr>
      <xdr:spPr>
        <a:xfrm>
          <a:off x="15781020" y="97711260"/>
          <a:ext cx="128016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563880</xdr:colOff>
      <xdr:row>311</xdr:row>
      <xdr:rowOff>198120</xdr:rowOff>
    </xdr:from>
    <xdr:to>
      <xdr:col>14</xdr:col>
      <xdr:colOff>53340</xdr:colOff>
      <xdr:row>314</xdr:row>
      <xdr:rowOff>99060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A99F6D39-1F79-09BC-F126-4C858E9D5804}"/>
            </a:ext>
          </a:extLst>
        </xdr:cNvPr>
        <xdr:cNvCxnSpPr/>
      </xdr:nvCxnSpPr>
      <xdr:spPr>
        <a:xfrm>
          <a:off x="16337280" y="97703640"/>
          <a:ext cx="2026920" cy="792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1135380</xdr:colOff>
      <xdr:row>62</xdr:row>
      <xdr:rowOff>123847</xdr:rowOff>
    </xdr:from>
    <xdr:to>
      <xdr:col>3</xdr:col>
      <xdr:colOff>3037840</xdr:colOff>
      <xdr:row>72</xdr:row>
      <xdr:rowOff>228601</xdr:rowOff>
    </xdr:to>
    <xdr:pic>
      <xdr:nvPicPr>
        <xdr:cNvPr id="2" name="Picture 1" descr="The F Distribution">
          <a:extLst>
            <a:ext uri="{FF2B5EF4-FFF2-40B4-BE49-F238E27FC236}">
              <a16:creationId xmlns:a16="http://schemas.microsoft.com/office/drawing/2014/main" id="{56FAA883-5494-47D8-B193-82FCDD3D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8220" y="19867267"/>
          <a:ext cx="4218940" cy="3076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883920</xdr:colOff>
      <xdr:row>70</xdr:row>
      <xdr:rowOff>0</xdr:rowOff>
    </xdr:from>
    <xdr:to>
      <xdr:col>3</xdr:col>
      <xdr:colOff>982980</xdr:colOff>
      <xdr:row>70</xdr:row>
      <xdr:rowOff>106680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7ECAA39-7631-4209-B2CA-2DBF3B808930}"/>
            </a:ext>
          </a:extLst>
        </xdr:cNvPr>
        <xdr:cNvSpPr/>
      </xdr:nvSpPr>
      <xdr:spPr>
        <a:xfrm>
          <a:off x="6873240" y="22120860"/>
          <a:ext cx="9906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929640</xdr:colOff>
      <xdr:row>70</xdr:row>
      <xdr:rowOff>45720</xdr:rowOff>
    </xdr:from>
    <xdr:to>
      <xdr:col>4</xdr:col>
      <xdr:colOff>381000</xdr:colOff>
      <xdr:row>73</xdr:row>
      <xdr:rowOff>289560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BF5D511-4602-4E59-AD68-0619AF3FAB4D}"/>
            </a:ext>
          </a:extLst>
        </xdr:cNvPr>
        <xdr:cNvCxnSpPr/>
      </xdr:nvCxnSpPr>
      <xdr:spPr>
        <a:xfrm>
          <a:off x="6918960" y="22166580"/>
          <a:ext cx="3078480" cy="1135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541020</xdr:colOff>
      <xdr:row>70</xdr:row>
      <xdr:rowOff>15240</xdr:rowOff>
    </xdr:from>
    <xdr:to>
      <xdr:col>3</xdr:col>
      <xdr:colOff>579120</xdr:colOff>
      <xdr:row>70</xdr:row>
      <xdr:rowOff>99060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8056A33-C77B-4595-BFFD-91B20DF2B568}"/>
            </a:ext>
          </a:extLst>
        </xdr:cNvPr>
        <xdr:cNvSpPr/>
      </xdr:nvSpPr>
      <xdr:spPr>
        <a:xfrm flipH="1">
          <a:off x="6530340" y="22136100"/>
          <a:ext cx="38100" cy="838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525780</xdr:colOff>
      <xdr:row>70</xdr:row>
      <xdr:rowOff>38100</xdr:rowOff>
    </xdr:from>
    <xdr:to>
      <xdr:col>3</xdr:col>
      <xdr:colOff>1859280</xdr:colOff>
      <xdr:row>74</xdr:row>
      <xdr:rowOff>30480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110C059-1602-445F-872E-0953D9FB4031}"/>
            </a:ext>
          </a:extLst>
        </xdr:cNvPr>
        <xdr:cNvCxnSpPr/>
      </xdr:nvCxnSpPr>
      <xdr:spPr>
        <a:xfrm>
          <a:off x="6515100" y="22158960"/>
          <a:ext cx="133350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1135380</xdr:colOff>
      <xdr:row>145</xdr:row>
      <xdr:rowOff>131467</xdr:rowOff>
    </xdr:from>
    <xdr:to>
      <xdr:col>3</xdr:col>
      <xdr:colOff>3037840</xdr:colOff>
      <xdr:row>155</xdr:row>
      <xdr:rowOff>236221</xdr:rowOff>
    </xdr:to>
    <xdr:pic>
      <xdr:nvPicPr>
        <xdr:cNvPr id="7" name="Picture 6" descr="The F Distribution">
          <a:extLst>
            <a:ext uri="{FF2B5EF4-FFF2-40B4-BE49-F238E27FC236}">
              <a16:creationId xmlns:a16="http://schemas.microsoft.com/office/drawing/2014/main" id="{0F5378A6-7B81-45D5-A3C7-45500A15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8220" y="45988627"/>
          <a:ext cx="4218940" cy="3076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510540</xdr:colOff>
      <xdr:row>153</xdr:row>
      <xdr:rowOff>7620</xdr:rowOff>
    </xdr:from>
    <xdr:to>
      <xdr:col>3</xdr:col>
      <xdr:colOff>609600</xdr:colOff>
      <xdr:row>153</xdr:row>
      <xdr:rowOff>114300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2E6DBDC-A4ED-4572-B9FF-CBB92863C68D}"/>
            </a:ext>
          </a:extLst>
        </xdr:cNvPr>
        <xdr:cNvSpPr/>
      </xdr:nvSpPr>
      <xdr:spPr>
        <a:xfrm>
          <a:off x="6499860" y="48242220"/>
          <a:ext cx="9906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556260</xdr:colOff>
      <xdr:row>153</xdr:row>
      <xdr:rowOff>53340</xdr:rowOff>
    </xdr:from>
    <xdr:to>
      <xdr:col>4</xdr:col>
      <xdr:colOff>274320</xdr:colOff>
      <xdr:row>156</xdr:row>
      <xdr:rowOff>259080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EF121CB-E6E9-48D4-8DE6-155142D7BB0B}"/>
            </a:ext>
          </a:extLst>
        </xdr:cNvPr>
        <xdr:cNvCxnSpPr/>
      </xdr:nvCxnSpPr>
      <xdr:spPr>
        <a:xfrm>
          <a:off x="6545580" y="48287940"/>
          <a:ext cx="3345180" cy="1097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153</xdr:row>
      <xdr:rowOff>22860</xdr:rowOff>
    </xdr:from>
    <xdr:to>
      <xdr:col>3</xdr:col>
      <xdr:colOff>182880</xdr:colOff>
      <xdr:row>153</xdr:row>
      <xdr:rowOff>106680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EFDB905-C2B7-4276-A16F-1637426BC3D9}"/>
            </a:ext>
          </a:extLst>
        </xdr:cNvPr>
        <xdr:cNvSpPr/>
      </xdr:nvSpPr>
      <xdr:spPr>
        <a:xfrm flipH="1">
          <a:off x="6126480" y="48257460"/>
          <a:ext cx="45720" cy="838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152400</xdr:colOff>
      <xdr:row>153</xdr:row>
      <xdr:rowOff>99060</xdr:rowOff>
    </xdr:from>
    <xdr:to>
      <xdr:col>3</xdr:col>
      <xdr:colOff>1440180</xdr:colOff>
      <xdr:row>157</xdr:row>
      <xdr:rowOff>121920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08E93F1-92B8-4F8E-A0B8-22391EA23F70}"/>
            </a:ext>
          </a:extLst>
        </xdr:cNvPr>
        <xdr:cNvCxnSpPr/>
      </xdr:nvCxnSpPr>
      <xdr:spPr>
        <a:xfrm>
          <a:off x="6141720" y="48333660"/>
          <a:ext cx="1287780" cy="1211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145</xdr:row>
      <xdr:rowOff>7620</xdr:rowOff>
    </xdr:from>
    <xdr:to>
      <xdr:col>3</xdr:col>
      <xdr:colOff>167640</xdr:colOff>
      <xdr:row>157</xdr:row>
      <xdr:rowOff>114300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615BE8-CD24-47E4-8729-75D8CD4754DF}"/>
            </a:ext>
          </a:extLst>
        </xdr:cNvPr>
        <xdr:cNvCxnSpPr/>
      </xdr:nvCxnSpPr>
      <xdr:spPr>
        <a:xfrm>
          <a:off x="6118860" y="45864780"/>
          <a:ext cx="38100" cy="3672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146473</xdr:colOff>
      <xdr:row>266</xdr:row>
      <xdr:rowOff>8467</xdr:rowOff>
    </xdr:from>
    <xdr:to>
      <xdr:col>6</xdr:col>
      <xdr:colOff>1001606</xdr:colOff>
      <xdr:row>275</xdr:row>
      <xdr:rowOff>33867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B91033-508A-456E-913E-07FFC04C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262467</xdr:colOff>
      <xdr:row>270</xdr:row>
      <xdr:rowOff>110066</xdr:rowOff>
    </xdr:from>
    <xdr:to>
      <xdr:col>7</xdr:col>
      <xdr:colOff>177801</xdr:colOff>
      <xdr:row>270</xdr:row>
      <xdr:rowOff>110066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BCDAAD0-5FA2-4B93-915A-EFB0EB1EAFED}"/>
            </a:ext>
          </a:extLst>
        </xdr:cNvPr>
        <xdr:cNvCxnSpPr/>
      </xdr:nvCxnSpPr>
      <xdr:spPr>
        <a:xfrm>
          <a:off x="6251787" y="85667426"/>
          <a:ext cx="8548794" cy="0"/>
        </a:xfrm>
        <a:prstGeom prst="line">
          <a:avLst/>
        </a:prstGeom>
        <a:ln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584200</xdr:colOff>
      <xdr:row>363</xdr:row>
      <xdr:rowOff>50800</xdr:rowOff>
    </xdr:from>
    <xdr:to>
      <xdr:col>2</xdr:col>
      <xdr:colOff>2032000</xdr:colOff>
      <xdr:row>363</xdr:row>
      <xdr:rowOff>50800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264DED9-712A-4699-8548-7944A61AAD4F}"/>
            </a:ext>
          </a:extLst>
        </xdr:cNvPr>
        <xdr:cNvCxnSpPr/>
      </xdr:nvCxnSpPr>
      <xdr:spPr>
        <a:xfrm>
          <a:off x="4257040" y="115722400"/>
          <a:ext cx="1447800" cy="0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311</xdr:row>
      <xdr:rowOff>0</xdr:rowOff>
    </xdr:from>
    <xdr:to>
      <xdr:col>9</xdr:col>
      <xdr:colOff>873760</xdr:colOff>
      <xdr:row>321</xdr:row>
      <xdr:rowOff>104754</xdr:rowOff>
    </xdr:to>
    <xdr:pic>
      <xdr:nvPicPr>
        <xdr:cNvPr id="16" name="Picture 15" descr="The F Distribution">
          <a:extLst>
            <a:ext uri="{FF2B5EF4-FFF2-40B4-BE49-F238E27FC236}">
              <a16:creationId xmlns:a16="http://schemas.microsoft.com/office/drawing/2014/main" id="{59C2D157-FBB1-47C4-BAE5-CD143AF3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99395280"/>
          <a:ext cx="4218940" cy="3076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335280</xdr:colOff>
      <xdr:row>318</xdr:row>
      <xdr:rowOff>251460</xdr:rowOff>
    </xdr:from>
    <xdr:to>
      <xdr:col>9</xdr:col>
      <xdr:colOff>38100</xdr:colOff>
      <xdr:row>323</xdr:row>
      <xdr:rowOff>60960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569E4F6-3AA4-0035-2146-67372597C10D}"/>
            </a:ext>
          </a:extLst>
        </xdr:cNvPr>
        <xdr:cNvCxnSpPr/>
      </xdr:nvCxnSpPr>
      <xdr:spPr>
        <a:xfrm>
          <a:off x="14958060" y="101727000"/>
          <a:ext cx="1645920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1173480</xdr:colOff>
      <xdr:row>318</xdr:row>
      <xdr:rowOff>251460</xdr:rowOff>
    </xdr:from>
    <xdr:to>
      <xdr:col>12</xdr:col>
      <xdr:colOff>106680</xdr:colOff>
      <xdr:row>323</xdr:row>
      <xdr:rowOff>7620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E9CEE26-C85A-43DA-AAEA-06D05457B055}"/>
            </a:ext>
          </a:extLst>
        </xdr:cNvPr>
        <xdr:cNvCxnSpPr/>
      </xdr:nvCxnSpPr>
      <xdr:spPr>
        <a:xfrm>
          <a:off x="15796260" y="101727000"/>
          <a:ext cx="3032760" cy="1242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sgu/Documents/Rishi%20New/SIBM/MBA%20(BA_QF)%20BS/BS%20Classwork%20BA%20and%20Q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sgu/Documents/Rishi%20New/SIBM/MBA%20BS/Sec%20B/BS%20Classwork%20Sec%2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riptive"/>
      <sheetName val="Regression"/>
      <sheetName val="CT 1"/>
      <sheetName val="Probability"/>
      <sheetName val="CT 2"/>
      <sheetName val="Quiz 1"/>
      <sheetName val="Smoothening Techniques"/>
      <sheetName val="Sampling Theory"/>
      <sheetName val="Hypothesis Testing"/>
      <sheetName val="ANOVA"/>
      <sheetName val="Two Sample Test"/>
    </sheetNames>
    <sheetDataSet>
      <sheetData sheetId="0"/>
      <sheetData sheetId="1"/>
      <sheetData sheetId="2"/>
      <sheetData sheetId="3">
        <row r="362">
          <cell r="C362">
            <v>0.16666666666666666</v>
          </cell>
        </row>
        <row r="363">
          <cell r="C363">
            <v>0.16666666666666666</v>
          </cell>
        </row>
        <row r="364">
          <cell r="C364">
            <v>0.16666666666666666</v>
          </cell>
        </row>
        <row r="365">
          <cell r="C365">
            <v>0.16666666666666666</v>
          </cell>
        </row>
        <row r="366">
          <cell r="C366">
            <v>0.16666666666666666</v>
          </cell>
        </row>
        <row r="367">
          <cell r="C367">
            <v>0.16666666666666666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riptive"/>
      <sheetName val="Regression"/>
      <sheetName val="Probability"/>
      <sheetName val="CT 1"/>
      <sheetName val="CT 2"/>
      <sheetName val="Inferential Stats"/>
      <sheetName val="Inf Stats 2"/>
      <sheetName val="ANOVA"/>
      <sheetName val="Two Sample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8">
          <cell r="C268" t="str">
            <v>y</v>
          </cell>
        </row>
        <row r="269">
          <cell r="B269">
            <v>3.2</v>
          </cell>
          <cell r="C269">
            <v>19.7</v>
          </cell>
        </row>
        <row r="270">
          <cell r="B270">
            <v>3.25</v>
          </cell>
          <cell r="C270">
            <v>18.2</v>
          </cell>
        </row>
        <row r="271">
          <cell r="B271">
            <v>5.5</v>
          </cell>
          <cell r="C271">
            <v>12.5</v>
          </cell>
        </row>
        <row r="272">
          <cell r="B272">
            <v>4.2</v>
          </cell>
          <cell r="C272">
            <v>15.6</v>
          </cell>
        </row>
        <row r="273">
          <cell r="B273">
            <v>6.2</v>
          </cell>
          <cell r="C273">
            <v>9.6999999999999993</v>
          </cell>
        </row>
        <row r="274">
          <cell r="B274">
            <v>4.5999999999999996</v>
          </cell>
          <cell r="C274">
            <v>16.899999999999999</v>
          </cell>
        </row>
        <row r="275">
          <cell r="B275">
            <v>5.9</v>
          </cell>
          <cell r="C275">
            <v>10.8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7B6D-00B4-48C9-A74E-C60D7C1C1709}">
  <dimension ref="A1:U491"/>
  <sheetViews>
    <sheetView topLeftCell="A374" zoomScale="54" zoomScaleNormal="54" workbookViewId="0">
      <selection activeCell="F411" sqref="F411"/>
    </sheetView>
  </sheetViews>
  <sheetFormatPr defaultColWidth="8.84375" defaultRowHeight="26.15" x14ac:dyDescent="0.7"/>
  <cols>
    <col min="1" max="1" width="17" style="1" customWidth="1"/>
    <col min="2" max="2" width="26.07421875" style="1" customWidth="1"/>
    <col min="3" max="3" width="22.3046875" style="1" customWidth="1"/>
    <col min="4" max="4" width="31.4609375" style="1" customWidth="1"/>
    <col min="5" max="5" width="41.3046875" style="1" customWidth="1"/>
    <col min="6" max="6" width="30.53515625" style="1" customWidth="1"/>
    <col min="7" max="7" width="43.69140625" style="1" customWidth="1"/>
    <col min="8" max="8" width="25.69140625" style="1" customWidth="1"/>
    <col min="9" max="9" width="20.765625" style="1" customWidth="1"/>
    <col min="10" max="19" width="8.84375" style="1"/>
    <col min="20" max="20" width="31.3046875" style="1" customWidth="1"/>
    <col min="21" max="21" width="16.3046875" style="1" customWidth="1"/>
    <col min="22" max="16384" width="8.84375" style="1"/>
  </cols>
  <sheetData>
    <row r="1" spans="1:7" x14ac:dyDescent="0.7">
      <c r="E1" s="10" t="s">
        <v>504</v>
      </c>
      <c r="F1" s="4">
        <v>8985800046</v>
      </c>
      <c r="G1" s="10" t="s">
        <v>505</v>
      </c>
    </row>
    <row r="2" spans="1:7" x14ac:dyDescent="0.7">
      <c r="B2" s="1" t="s">
        <v>0</v>
      </c>
      <c r="E2" s="10" t="s">
        <v>506</v>
      </c>
      <c r="F2" s="4">
        <v>9911713592</v>
      </c>
      <c r="G2" s="10" t="s">
        <v>507</v>
      </c>
    </row>
    <row r="3" spans="1:7" x14ac:dyDescent="0.7">
      <c r="E3" s="10" t="s">
        <v>508</v>
      </c>
      <c r="F3" s="4">
        <v>9840878434</v>
      </c>
      <c r="G3" s="10" t="s">
        <v>511</v>
      </c>
    </row>
    <row r="4" spans="1:7" x14ac:dyDescent="0.7">
      <c r="E4" s="10" t="s">
        <v>509</v>
      </c>
      <c r="F4" s="4">
        <v>8086014252</v>
      </c>
      <c r="G4" s="10" t="s">
        <v>510</v>
      </c>
    </row>
    <row r="6" spans="1:7" ht="30.9" x14ac:dyDescent="0.8">
      <c r="B6" s="2" t="s">
        <v>1</v>
      </c>
    </row>
    <row r="8" spans="1:7" x14ac:dyDescent="0.7">
      <c r="B8" s="1" t="s">
        <v>2</v>
      </c>
    </row>
    <row r="10" spans="1:7" x14ac:dyDescent="0.7">
      <c r="B10" s="1" t="s">
        <v>3</v>
      </c>
    </row>
    <row r="11" spans="1:7" x14ac:dyDescent="0.7">
      <c r="B11" s="1" t="s">
        <v>4</v>
      </c>
    </row>
    <row r="13" spans="1:7" x14ac:dyDescent="0.7">
      <c r="B13" s="1" t="s">
        <v>5</v>
      </c>
    </row>
    <row r="14" spans="1:7" x14ac:dyDescent="0.7">
      <c r="A14" s="3" t="s">
        <v>6</v>
      </c>
      <c r="B14" s="1" t="s">
        <v>9</v>
      </c>
      <c r="D14" s="1" t="s">
        <v>10</v>
      </c>
    </row>
    <row r="15" spans="1:7" x14ac:dyDescent="0.7">
      <c r="A15" s="3"/>
      <c r="D15" s="1" t="s">
        <v>11</v>
      </c>
    </row>
    <row r="16" spans="1:7" x14ac:dyDescent="0.7">
      <c r="A16" s="3" t="s">
        <v>7</v>
      </c>
      <c r="B16" s="1" t="s">
        <v>12</v>
      </c>
      <c r="D16" s="1" t="s">
        <v>13</v>
      </c>
    </row>
    <row r="17" spans="1:21" x14ac:dyDescent="0.7">
      <c r="A17" s="3" t="s">
        <v>8</v>
      </c>
      <c r="B17" s="1" t="s">
        <v>14</v>
      </c>
      <c r="D17" s="1" t="s">
        <v>15</v>
      </c>
    </row>
    <row r="18" spans="1:21" x14ac:dyDescent="0.7">
      <c r="D18" s="1" t="s">
        <v>249</v>
      </c>
    </row>
    <row r="20" spans="1:21" x14ac:dyDescent="0.7">
      <c r="B20" s="1" t="s">
        <v>16</v>
      </c>
    </row>
    <row r="21" spans="1:21" ht="26.6" thickBot="1" x14ac:dyDescent="0.75">
      <c r="B21" s="1" t="s">
        <v>17</v>
      </c>
    </row>
    <row r="22" spans="1:21" ht="52.3" x14ac:dyDescent="0.7">
      <c r="A22" s="4" t="s">
        <v>18</v>
      </c>
      <c r="B22" s="4" t="s">
        <v>19</v>
      </c>
      <c r="C22" s="7" t="s">
        <v>26</v>
      </c>
      <c r="D22" s="7" t="s">
        <v>28</v>
      </c>
      <c r="T22" s="51" t="s">
        <v>260</v>
      </c>
      <c r="U22" s="51"/>
    </row>
    <row r="23" spans="1:21" x14ac:dyDescent="0.7">
      <c r="A23" s="4">
        <v>1</v>
      </c>
      <c r="B23" s="4">
        <v>20</v>
      </c>
      <c r="C23" s="8">
        <f>B23-$B$32</f>
        <v>-5.875</v>
      </c>
      <c r="D23" s="9">
        <f>C23^2</f>
        <v>34.515625</v>
      </c>
      <c r="F23" s="1" t="s">
        <v>22</v>
      </c>
    </row>
    <row r="24" spans="1:21" x14ac:dyDescent="0.7">
      <c r="A24" s="4">
        <v>2</v>
      </c>
      <c r="B24" s="4">
        <v>22</v>
      </c>
      <c r="C24" s="8">
        <f t="shared" ref="C24:C30" si="0">B24-$B$32</f>
        <v>-3.875</v>
      </c>
      <c r="D24" s="9">
        <f t="shared" ref="D24:D30" si="1">C24^2</f>
        <v>15.015625</v>
      </c>
      <c r="F24" s="1" t="s">
        <v>23</v>
      </c>
      <c r="T24" s="1" t="s">
        <v>21</v>
      </c>
      <c r="U24" s="1">
        <v>25.875</v>
      </c>
    </row>
    <row r="25" spans="1:21" x14ac:dyDescent="0.7">
      <c r="A25" s="4">
        <v>3</v>
      </c>
      <c r="B25" s="4">
        <v>26</v>
      </c>
      <c r="C25" s="8">
        <f t="shared" si="0"/>
        <v>0.125</v>
      </c>
      <c r="D25" s="9">
        <f t="shared" si="1"/>
        <v>1.5625E-2</v>
      </c>
      <c r="T25" s="1" t="s">
        <v>261</v>
      </c>
      <c r="U25" s="1">
        <v>2.8311879132265307</v>
      </c>
    </row>
    <row r="26" spans="1:21" x14ac:dyDescent="0.7">
      <c r="A26" s="4">
        <v>4</v>
      </c>
      <c r="B26" s="4">
        <v>25</v>
      </c>
      <c r="C26" s="8">
        <f t="shared" si="0"/>
        <v>-0.875</v>
      </c>
      <c r="D26" s="9">
        <f t="shared" si="1"/>
        <v>0.765625</v>
      </c>
      <c r="F26" s="1" t="s">
        <v>30</v>
      </c>
      <c r="T26" s="1" t="s">
        <v>127</v>
      </c>
      <c r="U26" s="1">
        <v>24</v>
      </c>
    </row>
    <row r="27" spans="1:21" x14ac:dyDescent="0.7">
      <c r="A27" s="4">
        <v>5</v>
      </c>
      <c r="B27" s="4">
        <v>23</v>
      </c>
      <c r="C27" s="8">
        <f t="shared" si="0"/>
        <v>-2.875</v>
      </c>
      <c r="D27" s="9">
        <f t="shared" si="1"/>
        <v>8.265625</v>
      </c>
      <c r="T27" s="1" t="s">
        <v>262</v>
      </c>
      <c r="U27" s="1">
        <v>25</v>
      </c>
    </row>
    <row r="28" spans="1:21" x14ac:dyDescent="0.7">
      <c r="A28" s="4">
        <v>6</v>
      </c>
      <c r="B28" s="4">
        <v>21</v>
      </c>
      <c r="C28" s="8">
        <f t="shared" si="0"/>
        <v>-4.875</v>
      </c>
      <c r="D28" s="9">
        <f t="shared" si="1"/>
        <v>23.765625</v>
      </c>
      <c r="F28" s="1" t="s">
        <v>114</v>
      </c>
      <c r="T28" s="1" t="s">
        <v>263</v>
      </c>
      <c r="U28" s="1">
        <v>8.0078086890234825</v>
      </c>
    </row>
    <row r="29" spans="1:21" x14ac:dyDescent="0.7">
      <c r="A29" s="4">
        <v>7</v>
      </c>
      <c r="B29" s="4">
        <v>25</v>
      </c>
      <c r="C29" s="8">
        <f t="shared" si="0"/>
        <v>-0.875</v>
      </c>
      <c r="D29" s="9">
        <f t="shared" si="1"/>
        <v>0.765625</v>
      </c>
      <c r="F29" s="1" t="s">
        <v>115</v>
      </c>
      <c r="T29" s="1" t="s">
        <v>264</v>
      </c>
      <c r="U29" s="1">
        <v>64.125</v>
      </c>
    </row>
    <row r="30" spans="1:21" x14ac:dyDescent="0.7">
      <c r="A30" s="4">
        <v>8</v>
      </c>
      <c r="B30" s="4">
        <v>45</v>
      </c>
      <c r="C30" s="8">
        <f t="shared" si="0"/>
        <v>19.125</v>
      </c>
      <c r="D30" s="9">
        <f t="shared" si="1"/>
        <v>365.765625</v>
      </c>
      <c r="F30" s="1" t="s">
        <v>116</v>
      </c>
      <c r="T30" s="1" t="s">
        <v>239</v>
      </c>
      <c r="U30" s="1">
        <v>6.4258814678020642</v>
      </c>
    </row>
    <row r="31" spans="1:21" x14ac:dyDescent="0.7">
      <c r="A31" s="5" t="s">
        <v>20</v>
      </c>
      <c r="B31" s="5">
        <f>SUM(B23:B30)</f>
        <v>207</v>
      </c>
      <c r="C31" s="5">
        <f>SUM(C23:C30)</f>
        <v>0</v>
      </c>
      <c r="D31" s="5">
        <f>SUM(D23:D30)</f>
        <v>448.875</v>
      </c>
      <c r="E31" s="1" t="s">
        <v>250</v>
      </c>
      <c r="F31" s="1" t="s">
        <v>117</v>
      </c>
      <c r="T31" s="1" t="s">
        <v>265</v>
      </c>
      <c r="U31" s="1">
        <v>2.4457121894636211</v>
      </c>
    </row>
    <row r="32" spans="1:21" x14ac:dyDescent="0.7">
      <c r="A32" s="5" t="s">
        <v>21</v>
      </c>
      <c r="B32" s="6">
        <f>B31/A30</f>
        <v>25.875</v>
      </c>
      <c r="C32" s="5"/>
      <c r="D32" s="6">
        <f>D31/A30</f>
        <v>56.109375</v>
      </c>
      <c r="E32" s="1" t="s">
        <v>251</v>
      </c>
      <c r="F32" s="1" t="s">
        <v>118</v>
      </c>
      <c r="T32" s="1" t="s">
        <v>266</v>
      </c>
      <c r="U32" s="1">
        <v>25</v>
      </c>
    </row>
    <row r="33" spans="2:21" x14ac:dyDescent="0.7">
      <c r="T33" s="1" t="s">
        <v>267</v>
      </c>
      <c r="U33" s="1">
        <v>20</v>
      </c>
    </row>
    <row r="34" spans="2:21" x14ac:dyDescent="0.7">
      <c r="B34" s="1" t="s">
        <v>24</v>
      </c>
      <c r="T34" s="1" t="s">
        <v>268</v>
      </c>
      <c r="U34" s="1">
        <v>45</v>
      </c>
    </row>
    <row r="35" spans="2:21" x14ac:dyDescent="0.7">
      <c r="B35" s="1" t="s">
        <v>25</v>
      </c>
      <c r="T35" s="1" t="s">
        <v>20</v>
      </c>
      <c r="U35" s="1">
        <v>207</v>
      </c>
    </row>
    <row r="36" spans="2:21" ht="26.6" thickBot="1" x14ac:dyDescent="0.75">
      <c r="T36" s="52" t="s">
        <v>269</v>
      </c>
      <c r="U36" s="52">
        <v>8</v>
      </c>
    </row>
    <row r="37" spans="2:21" x14ac:dyDescent="0.7">
      <c r="B37" s="1" t="s">
        <v>27</v>
      </c>
      <c r="U37" s="1">
        <v>0</v>
      </c>
    </row>
    <row r="39" spans="2:21" x14ac:dyDescent="0.7">
      <c r="B39" s="4" t="s">
        <v>21</v>
      </c>
      <c r="C39" s="8">
        <f>B32</f>
        <v>25.875</v>
      </c>
      <c r="D39" s="8">
        <f>AVERAGE(B23:B30)</f>
        <v>25.875</v>
      </c>
      <c r="E39" s="1" t="s">
        <v>31</v>
      </c>
      <c r="H39" s="4"/>
    </row>
    <row r="40" spans="2:21" x14ac:dyDescent="0.7">
      <c r="B40" s="4" t="s">
        <v>29</v>
      </c>
      <c r="C40" s="8">
        <f>D32</f>
        <v>56.109375</v>
      </c>
      <c r="D40" s="8">
        <f>_xlfn.VAR.P(B23:B30)</f>
        <v>56.109375</v>
      </c>
      <c r="E40" s="1" t="s">
        <v>32</v>
      </c>
      <c r="H40" s="4"/>
    </row>
    <row r="41" spans="2:21" x14ac:dyDescent="0.7">
      <c r="B41" s="4" t="s">
        <v>252</v>
      </c>
      <c r="C41" s="8">
        <f>SQRT(C40)</f>
        <v>7.4906191332893171</v>
      </c>
      <c r="D41" s="8">
        <f>_xlfn.STDEV.P(B23:B30)</f>
        <v>7.4906191332893171</v>
      </c>
      <c r="E41" s="1" t="s">
        <v>33</v>
      </c>
      <c r="H41" s="4"/>
    </row>
    <row r="42" spans="2:21" ht="78.45" x14ac:dyDescent="0.7">
      <c r="B42" s="7" t="s">
        <v>37</v>
      </c>
      <c r="C42" s="22">
        <f>C41/C39</f>
        <v>0.28949252689040839</v>
      </c>
      <c r="D42" s="22">
        <f>D41/D39</f>
        <v>0.28949252689040839</v>
      </c>
      <c r="E42" s="1" t="s">
        <v>38</v>
      </c>
      <c r="G42" s="1" t="s">
        <v>253</v>
      </c>
    </row>
    <row r="43" spans="2:21" x14ac:dyDescent="0.7">
      <c r="B43" s="1" t="s">
        <v>35</v>
      </c>
      <c r="G43" s="1" t="s">
        <v>254</v>
      </c>
    </row>
    <row r="44" spans="2:21" x14ac:dyDescent="0.7">
      <c r="B44" s="1" t="s">
        <v>34</v>
      </c>
      <c r="G44" s="1" t="s">
        <v>255</v>
      </c>
    </row>
    <row r="45" spans="2:21" x14ac:dyDescent="0.7">
      <c r="G45" s="1" t="s">
        <v>256</v>
      </c>
    </row>
    <row r="46" spans="2:21" x14ac:dyDescent="0.7">
      <c r="B46" s="1" t="s">
        <v>36</v>
      </c>
    </row>
    <row r="47" spans="2:21" x14ac:dyDescent="0.7">
      <c r="G47" s="1" t="s">
        <v>257</v>
      </c>
    </row>
    <row r="48" spans="2:21" x14ac:dyDescent="0.7">
      <c r="B48" s="1" t="s">
        <v>101</v>
      </c>
      <c r="G48" s="1" t="s">
        <v>258</v>
      </c>
    </row>
    <row r="49" spans="1:7" x14ac:dyDescent="0.7">
      <c r="G49" s="1" t="s">
        <v>259</v>
      </c>
    </row>
    <row r="50" spans="1:7" x14ac:dyDescent="0.7">
      <c r="B50" s="1" t="s">
        <v>39</v>
      </c>
    </row>
    <row r="52" spans="1:7" x14ac:dyDescent="0.7">
      <c r="B52" s="4"/>
      <c r="C52" s="5" t="s">
        <v>40</v>
      </c>
      <c r="D52" s="4" t="s">
        <v>41</v>
      </c>
    </row>
    <row r="53" spans="1:7" x14ac:dyDescent="0.7">
      <c r="B53" s="4" t="s">
        <v>42</v>
      </c>
      <c r="C53" s="14">
        <v>0.18</v>
      </c>
      <c r="D53" s="11">
        <v>0.21</v>
      </c>
    </row>
    <row r="54" spans="1:7" ht="52.3" x14ac:dyDescent="0.7">
      <c r="B54" s="7" t="s">
        <v>43</v>
      </c>
      <c r="C54" s="14">
        <v>0.39</v>
      </c>
      <c r="D54" s="11">
        <v>0.46</v>
      </c>
    </row>
    <row r="55" spans="1:7" ht="52.3" x14ac:dyDescent="0.7">
      <c r="B55" s="7" t="s">
        <v>44</v>
      </c>
      <c r="C55" s="15">
        <f>C54/C53</f>
        <v>2.166666666666667</v>
      </c>
      <c r="D55" s="15">
        <f>D54/D53</f>
        <v>2.1904761904761907</v>
      </c>
    </row>
    <row r="57" spans="1:7" x14ac:dyDescent="0.7">
      <c r="B57" s="1" t="s">
        <v>46</v>
      </c>
    </row>
    <row r="58" spans="1:7" x14ac:dyDescent="0.7">
      <c r="B58" s="1" t="s">
        <v>45</v>
      </c>
    </row>
    <row r="60" spans="1:7" x14ac:dyDescent="0.7">
      <c r="B60" s="1" t="s">
        <v>47</v>
      </c>
    </row>
    <row r="61" spans="1:7" x14ac:dyDescent="0.7">
      <c r="B61" s="1" t="s">
        <v>48</v>
      </c>
    </row>
    <row r="62" spans="1:7" x14ac:dyDescent="0.7">
      <c r="B62" s="1" t="s">
        <v>49</v>
      </c>
    </row>
    <row r="63" spans="1:7" ht="52.3" x14ac:dyDescent="0.7">
      <c r="A63" s="10" t="s">
        <v>18</v>
      </c>
      <c r="B63" s="16" t="s">
        <v>50</v>
      </c>
      <c r="C63" s="7" t="s">
        <v>51</v>
      </c>
      <c r="D63" s="7" t="s">
        <v>271</v>
      </c>
      <c r="E63" s="16"/>
      <c r="F63" s="7" t="s">
        <v>270</v>
      </c>
    </row>
    <row r="64" spans="1:7" ht="25.2" customHeight="1" x14ac:dyDescent="0.7">
      <c r="A64" s="10"/>
      <c r="B64" s="16"/>
      <c r="C64" s="7" t="s">
        <v>62</v>
      </c>
      <c r="D64" s="7" t="s">
        <v>63</v>
      </c>
      <c r="E64" s="7" t="s">
        <v>64</v>
      </c>
      <c r="F64" s="7" t="s">
        <v>66</v>
      </c>
    </row>
    <row r="65" spans="1:7" x14ac:dyDescent="0.7">
      <c r="A65" s="10">
        <v>1</v>
      </c>
      <c r="B65" s="10" t="s">
        <v>52</v>
      </c>
      <c r="C65" s="4">
        <v>5600</v>
      </c>
      <c r="D65" s="4">
        <v>1.87</v>
      </c>
      <c r="E65" s="4">
        <f>C65*D65</f>
        <v>10472</v>
      </c>
      <c r="F65" s="4">
        <f>C65*(D65-$C$78)^2</f>
        <v>1179.8136000000004</v>
      </c>
    </row>
    <row r="66" spans="1:7" x14ac:dyDescent="0.7">
      <c r="A66" s="10">
        <v>2</v>
      </c>
      <c r="B66" s="10" t="s">
        <v>53</v>
      </c>
      <c r="C66" s="4">
        <v>10200</v>
      </c>
      <c r="D66" s="4">
        <v>2.02</v>
      </c>
      <c r="E66" s="4">
        <f t="shared" ref="E66:E69" si="2">C66*D66</f>
        <v>20604</v>
      </c>
      <c r="F66" s="4">
        <f t="shared" ref="F66:F69" si="3">C66*(D66-$C$78)^2</f>
        <v>973.90620000000115</v>
      </c>
    </row>
    <row r="67" spans="1:7" x14ac:dyDescent="0.7">
      <c r="A67" s="10">
        <v>3</v>
      </c>
      <c r="B67" s="10" t="s">
        <v>54</v>
      </c>
      <c r="C67" s="4">
        <v>12400</v>
      </c>
      <c r="D67" s="4">
        <v>2.19</v>
      </c>
      <c r="E67" s="4">
        <f t="shared" si="2"/>
        <v>27156</v>
      </c>
      <c r="F67" s="4">
        <f t="shared" si="3"/>
        <v>239.58040000000079</v>
      </c>
    </row>
    <row r="68" spans="1:7" x14ac:dyDescent="0.7">
      <c r="A68" s="10">
        <v>4</v>
      </c>
      <c r="B68" s="10" t="s">
        <v>55</v>
      </c>
      <c r="C68" s="4">
        <v>15800</v>
      </c>
      <c r="D68" s="4">
        <v>2.2799999999999998</v>
      </c>
      <c r="E68" s="4">
        <f t="shared" si="2"/>
        <v>36024</v>
      </c>
      <c r="F68" s="4">
        <f t="shared" si="3"/>
        <v>37.935800000000583</v>
      </c>
    </row>
    <row r="69" spans="1:7" x14ac:dyDescent="0.7">
      <c r="A69" s="10">
        <v>5</v>
      </c>
      <c r="B69" s="10" t="s">
        <v>56</v>
      </c>
      <c r="C69" s="4">
        <v>20000</v>
      </c>
      <c r="D69" s="4">
        <v>2.74</v>
      </c>
      <c r="E69" s="4">
        <f t="shared" si="2"/>
        <v>54800.000000000007</v>
      </c>
      <c r="F69" s="4">
        <f t="shared" si="3"/>
        <v>3378.4200000000005</v>
      </c>
    </row>
    <row r="70" spans="1:7" x14ac:dyDescent="0.7">
      <c r="A70" s="10"/>
      <c r="B70" s="10"/>
      <c r="C70" s="5">
        <f>SUM(C65:C69)</f>
        <v>64000</v>
      </c>
      <c r="D70" s="5"/>
      <c r="E70" s="5">
        <f t="shared" ref="E70:F70" si="4">SUM(E65:E69)</f>
        <v>149056</v>
      </c>
      <c r="F70" s="5">
        <f t="shared" si="4"/>
        <v>5809.6560000000036</v>
      </c>
      <c r="G70" s="1" t="s">
        <v>272</v>
      </c>
    </row>
    <row r="72" spans="1:7" x14ac:dyDescent="0.7">
      <c r="A72" s="1" t="s">
        <v>57</v>
      </c>
      <c r="B72" s="1" t="s">
        <v>61</v>
      </c>
    </row>
    <row r="73" spans="1:7" x14ac:dyDescent="0.7">
      <c r="A73" s="1" t="s">
        <v>58</v>
      </c>
      <c r="B73" s="1" t="s">
        <v>59</v>
      </c>
    </row>
    <row r="75" spans="1:7" ht="35.6" x14ac:dyDescent="0.9">
      <c r="B75" s="49" t="s">
        <v>60</v>
      </c>
      <c r="C75" s="49"/>
      <c r="D75" s="49"/>
      <c r="E75" s="49"/>
      <c r="F75" s="50"/>
    </row>
    <row r="76" spans="1:7" ht="35.6" x14ac:dyDescent="0.9">
      <c r="B76" s="49" t="s">
        <v>248</v>
      </c>
      <c r="C76" s="49"/>
      <c r="D76" s="49"/>
      <c r="E76" s="49"/>
      <c r="F76" s="50"/>
    </row>
    <row r="78" spans="1:7" x14ac:dyDescent="0.7">
      <c r="B78" s="4" t="s">
        <v>21</v>
      </c>
      <c r="C78" s="4">
        <f>E70/C70</f>
        <v>2.3290000000000002</v>
      </c>
    </row>
    <row r="79" spans="1:7" x14ac:dyDescent="0.7">
      <c r="B79" s="4" t="s">
        <v>29</v>
      </c>
      <c r="C79" s="17">
        <f>F70/C70</f>
        <v>9.0775875000000061E-2</v>
      </c>
    </row>
    <row r="80" spans="1:7" x14ac:dyDescent="0.7">
      <c r="B80" s="4" t="s">
        <v>65</v>
      </c>
      <c r="C80" s="17">
        <f>SQRT(C79)</f>
        <v>0.30129034999481824</v>
      </c>
    </row>
    <row r="81" spans="1:6" ht="52.3" x14ac:dyDescent="0.7">
      <c r="B81" s="7" t="s">
        <v>44</v>
      </c>
      <c r="C81" s="21">
        <f>C80/C78</f>
        <v>0.12936468441168666</v>
      </c>
    </row>
    <row r="83" spans="1:6" x14ac:dyDescent="0.7">
      <c r="B83" s="1" t="s">
        <v>67</v>
      </c>
    </row>
    <row r="84" spans="1:6" x14ac:dyDescent="0.7">
      <c r="B84" s="1" t="s">
        <v>68</v>
      </c>
    </row>
    <row r="85" spans="1:6" ht="52.3" x14ac:dyDescent="0.7">
      <c r="A85" s="7" t="s">
        <v>18</v>
      </c>
      <c r="B85" s="7" t="s">
        <v>69</v>
      </c>
      <c r="C85" s="7" t="s">
        <v>70</v>
      </c>
      <c r="D85" s="7" t="s">
        <v>71</v>
      </c>
      <c r="E85" s="7"/>
      <c r="F85" s="7"/>
    </row>
    <row r="86" spans="1:6" x14ac:dyDescent="0.7">
      <c r="A86" s="7"/>
      <c r="B86" s="7"/>
      <c r="C86" s="7" t="s">
        <v>63</v>
      </c>
      <c r="D86" s="7" t="s">
        <v>62</v>
      </c>
      <c r="E86" s="7" t="s">
        <v>64</v>
      </c>
      <c r="F86" s="7" t="s">
        <v>66</v>
      </c>
    </row>
    <row r="87" spans="1:6" x14ac:dyDescent="0.7">
      <c r="A87" s="7">
        <v>1</v>
      </c>
      <c r="B87" s="7" t="s">
        <v>72</v>
      </c>
      <c r="C87" s="12">
        <v>0.1</v>
      </c>
      <c r="D87" s="12">
        <v>0.5</v>
      </c>
      <c r="E87" s="13">
        <f>C87*D87</f>
        <v>0.05</v>
      </c>
      <c r="F87" s="7">
        <f>D87*(C87-$D$93)^2</f>
        <v>3.2512499999999989E-4</v>
      </c>
    </row>
    <row r="88" spans="1:6" ht="52.3" x14ac:dyDescent="0.7">
      <c r="A88" s="7">
        <v>2</v>
      </c>
      <c r="B88" s="7" t="s">
        <v>73</v>
      </c>
      <c r="C88" s="12">
        <v>7.0000000000000007E-2</v>
      </c>
      <c r="D88" s="12">
        <v>0.3</v>
      </c>
      <c r="E88" s="13">
        <f t="shared" ref="E88:E90" si="5">C88*D88</f>
        <v>2.1000000000000001E-2</v>
      </c>
      <c r="F88" s="7">
        <f t="shared" ref="F88:F90" si="6">D88*(C88-$D$93)^2</f>
        <v>6.0750000000000104E-6</v>
      </c>
    </row>
    <row r="89" spans="1:6" x14ac:dyDescent="0.7">
      <c r="A89" s="7">
        <v>3</v>
      </c>
      <c r="B89" s="7" t="s">
        <v>74</v>
      </c>
      <c r="C89" s="12">
        <v>0.03</v>
      </c>
      <c r="D89" s="12">
        <v>0.15</v>
      </c>
      <c r="E89" s="13">
        <f t="shared" si="5"/>
        <v>4.4999999999999997E-3</v>
      </c>
      <c r="F89" s="7">
        <f t="shared" si="6"/>
        <v>2.9703750000000017E-4</v>
      </c>
    </row>
    <row r="90" spans="1:6" x14ac:dyDescent="0.7">
      <c r="A90" s="7">
        <v>4</v>
      </c>
      <c r="B90" s="7" t="s">
        <v>75</v>
      </c>
      <c r="C90" s="12">
        <v>-0.02</v>
      </c>
      <c r="D90" s="12">
        <v>0.05</v>
      </c>
      <c r="E90" s="13">
        <f t="shared" si="5"/>
        <v>-1E-3</v>
      </c>
      <c r="F90" s="7">
        <f t="shared" si="6"/>
        <v>4.4651250000000015E-4</v>
      </c>
    </row>
    <row r="91" spans="1:6" x14ac:dyDescent="0.7">
      <c r="A91" s="7"/>
      <c r="B91" s="7"/>
      <c r="C91" s="7"/>
      <c r="D91" s="15">
        <f>SUM(D87:D90)</f>
        <v>1</v>
      </c>
      <c r="E91" s="18">
        <f>SUM(E87:E90)</f>
        <v>7.4500000000000011E-2</v>
      </c>
      <c r="F91" s="18">
        <f>SUM(F87:F90)</f>
        <v>1.0747500000000002E-3</v>
      </c>
    </row>
    <row r="93" spans="1:6" x14ac:dyDescent="0.7">
      <c r="A93" s="1" t="s">
        <v>57</v>
      </c>
      <c r="B93" s="1" t="s">
        <v>76</v>
      </c>
      <c r="D93" s="19">
        <f>E91</f>
        <v>7.4500000000000011E-2</v>
      </c>
    </row>
    <row r="94" spans="1:6" x14ac:dyDescent="0.7">
      <c r="C94" s="1" t="s">
        <v>29</v>
      </c>
      <c r="D94" s="19">
        <f>F91/D91</f>
        <v>1.0747500000000002E-3</v>
      </c>
    </row>
    <row r="95" spans="1:6" x14ac:dyDescent="0.7">
      <c r="A95" s="1" t="s">
        <v>58</v>
      </c>
      <c r="B95" s="1" t="s">
        <v>59</v>
      </c>
      <c r="D95" s="20">
        <f>SQRT(D94)</f>
        <v>3.2783379935571018E-2</v>
      </c>
    </row>
    <row r="98" spans="2:10" x14ac:dyDescent="0.7">
      <c r="B98" s="1" t="s">
        <v>77</v>
      </c>
    </row>
    <row r="99" spans="2:10" x14ac:dyDescent="0.7">
      <c r="B99" s="1" t="s">
        <v>78</v>
      </c>
    </row>
    <row r="100" spans="2:10" x14ac:dyDescent="0.7">
      <c r="B100" s="4">
        <v>595</v>
      </c>
      <c r="C100" s="4">
        <v>597</v>
      </c>
      <c r="D100" s="4">
        <v>538</v>
      </c>
      <c r="E100" s="4">
        <v>577</v>
      </c>
      <c r="F100" s="4">
        <v>599</v>
      </c>
      <c r="G100" s="4">
        <v>528</v>
      </c>
      <c r="I100" s="5" t="s">
        <v>79</v>
      </c>
      <c r="J100" s="5">
        <f>MAX(B100:G119)</f>
        <v>599</v>
      </c>
    </row>
    <row r="101" spans="2:10" x14ac:dyDescent="0.7">
      <c r="B101" s="4">
        <v>583</v>
      </c>
      <c r="C101" s="4">
        <v>566</v>
      </c>
      <c r="D101" s="4">
        <v>521</v>
      </c>
      <c r="E101" s="4">
        <v>554</v>
      </c>
      <c r="F101" s="4">
        <v>562</v>
      </c>
      <c r="G101" s="4">
        <v>542</v>
      </c>
      <c r="I101" s="5" t="s">
        <v>80</v>
      </c>
      <c r="J101" s="5">
        <f>MIN(B100:G119)</f>
        <v>500</v>
      </c>
    </row>
    <row r="102" spans="2:10" x14ac:dyDescent="0.7">
      <c r="B102" s="4">
        <v>537</v>
      </c>
      <c r="C102" s="4">
        <v>590</v>
      </c>
      <c r="D102" s="4">
        <v>543</v>
      </c>
      <c r="E102" s="4">
        <v>590</v>
      </c>
      <c r="F102" s="4">
        <v>501</v>
      </c>
      <c r="G102" s="4">
        <v>563</v>
      </c>
    </row>
    <row r="103" spans="2:10" x14ac:dyDescent="0.7">
      <c r="B103" s="4">
        <v>576</v>
      </c>
      <c r="C103" s="4">
        <v>578</v>
      </c>
      <c r="D103" s="4">
        <v>555</v>
      </c>
      <c r="E103" s="4">
        <v>596</v>
      </c>
      <c r="F103" s="4">
        <v>501</v>
      </c>
      <c r="G103" s="4">
        <v>534</v>
      </c>
    </row>
    <row r="104" spans="2:10" x14ac:dyDescent="0.7">
      <c r="B104" s="4">
        <v>507</v>
      </c>
      <c r="C104" s="4">
        <v>511</v>
      </c>
      <c r="D104" s="4">
        <v>559</v>
      </c>
      <c r="E104" s="4">
        <v>555</v>
      </c>
      <c r="F104" s="4">
        <v>537</v>
      </c>
      <c r="G104" s="4">
        <v>576</v>
      </c>
    </row>
    <row r="105" spans="2:10" x14ac:dyDescent="0.7">
      <c r="B105" s="4">
        <v>564</v>
      </c>
      <c r="C105" s="4">
        <v>535</v>
      </c>
      <c r="D105" s="4">
        <v>562</v>
      </c>
      <c r="E105" s="4">
        <v>563</v>
      </c>
      <c r="F105" s="4">
        <v>571</v>
      </c>
      <c r="G105" s="4">
        <v>512</v>
      </c>
    </row>
    <row r="106" spans="2:10" x14ac:dyDescent="0.7">
      <c r="B106" s="4">
        <v>516</v>
      </c>
      <c r="C106" s="4">
        <v>501</v>
      </c>
      <c r="D106" s="4">
        <v>523</v>
      </c>
      <c r="E106" s="4">
        <v>509</v>
      </c>
      <c r="F106" s="4">
        <v>518</v>
      </c>
      <c r="G106" s="4">
        <v>578</v>
      </c>
    </row>
    <row r="107" spans="2:10" x14ac:dyDescent="0.7">
      <c r="B107" s="4">
        <v>569</v>
      </c>
      <c r="C107" s="4">
        <v>505</v>
      </c>
      <c r="D107" s="4">
        <v>567</v>
      </c>
      <c r="E107" s="4">
        <v>579</v>
      </c>
      <c r="F107" s="4">
        <v>512</v>
      </c>
      <c r="G107" s="4">
        <v>594</v>
      </c>
    </row>
    <row r="108" spans="2:10" x14ac:dyDescent="0.7">
      <c r="B108" s="4">
        <v>577</v>
      </c>
      <c r="C108" s="4">
        <v>529</v>
      </c>
      <c r="D108" s="4">
        <v>572</v>
      </c>
      <c r="E108" s="4">
        <v>555</v>
      </c>
      <c r="F108" s="4">
        <v>567</v>
      </c>
      <c r="G108" s="4">
        <v>524</v>
      </c>
    </row>
    <row r="109" spans="2:10" x14ac:dyDescent="0.7">
      <c r="B109" s="4">
        <v>523</v>
      </c>
      <c r="C109" s="4">
        <v>589</v>
      </c>
      <c r="D109" s="4">
        <v>560</v>
      </c>
      <c r="E109" s="4">
        <v>508</v>
      </c>
      <c r="F109" s="4">
        <v>502</v>
      </c>
      <c r="G109" s="4">
        <v>592</v>
      </c>
    </row>
    <row r="110" spans="2:10" x14ac:dyDescent="0.7">
      <c r="B110" s="4">
        <v>535</v>
      </c>
      <c r="C110" s="4">
        <v>504</v>
      </c>
      <c r="D110" s="4">
        <v>524</v>
      </c>
      <c r="E110" s="4">
        <v>585</v>
      </c>
      <c r="F110" s="4">
        <v>574</v>
      </c>
      <c r="G110" s="4">
        <v>563</v>
      </c>
    </row>
    <row r="111" spans="2:10" x14ac:dyDescent="0.7">
      <c r="B111" s="4">
        <v>500</v>
      </c>
      <c r="C111" s="4">
        <v>566</v>
      </c>
      <c r="D111" s="4">
        <v>568</v>
      </c>
      <c r="E111" s="4">
        <v>513</v>
      </c>
      <c r="F111" s="4">
        <v>559</v>
      </c>
      <c r="G111" s="4">
        <v>516</v>
      </c>
    </row>
    <row r="112" spans="2:10" x14ac:dyDescent="0.7">
      <c r="B112" s="4">
        <v>598</v>
      </c>
      <c r="C112" s="4">
        <v>506</v>
      </c>
      <c r="D112" s="4">
        <v>543</v>
      </c>
      <c r="E112" s="4">
        <v>576</v>
      </c>
      <c r="F112" s="4">
        <v>511</v>
      </c>
      <c r="G112" s="4">
        <v>551</v>
      </c>
    </row>
    <row r="113" spans="2:8" x14ac:dyDescent="0.7">
      <c r="B113" s="4">
        <v>557</v>
      </c>
      <c r="C113" s="4">
        <v>596</v>
      </c>
      <c r="D113" s="4">
        <v>533</v>
      </c>
      <c r="E113" s="4">
        <v>522</v>
      </c>
      <c r="F113" s="4">
        <v>562</v>
      </c>
      <c r="G113" s="4">
        <v>572</v>
      </c>
    </row>
    <row r="114" spans="2:8" x14ac:dyDescent="0.7">
      <c r="B114" s="4">
        <v>560</v>
      </c>
      <c r="C114" s="4">
        <v>537</v>
      </c>
      <c r="D114" s="4">
        <v>588</v>
      </c>
      <c r="E114" s="4">
        <v>545</v>
      </c>
      <c r="F114" s="4">
        <v>532</v>
      </c>
      <c r="G114" s="4">
        <v>556</v>
      </c>
    </row>
    <row r="115" spans="2:8" x14ac:dyDescent="0.7">
      <c r="B115" s="4">
        <v>579</v>
      </c>
      <c r="C115" s="4">
        <v>532</v>
      </c>
      <c r="D115" s="4">
        <v>515</v>
      </c>
      <c r="E115" s="4">
        <v>570</v>
      </c>
      <c r="F115" s="4">
        <v>541</v>
      </c>
      <c r="G115" s="4">
        <v>515</v>
      </c>
    </row>
    <row r="116" spans="2:8" x14ac:dyDescent="0.7">
      <c r="B116" s="4">
        <v>565</v>
      </c>
      <c r="C116" s="4">
        <v>534</v>
      </c>
      <c r="D116" s="4">
        <v>584</v>
      </c>
      <c r="E116" s="4">
        <v>528</v>
      </c>
      <c r="F116" s="4">
        <v>516</v>
      </c>
      <c r="G116" s="4">
        <v>511</v>
      </c>
    </row>
    <row r="117" spans="2:8" x14ac:dyDescent="0.7">
      <c r="B117" s="4">
        <v>583</v>
      </c>
      <c r="C117" s="4">
        <v>582</v>
      </c>
      <c r="D117" s="4">
        <v>543</v>
      </c>
      <c r="E117" s="4">
        <v>562</v>
      </c>
      <c r="F117" s="4">
        <v>523</v>
      </c>
      <c r="G117" s="4">
        <v>519</v>
      </c>
    </row>
    <row r="118" spans="2:8" x14ac:dyDescent="0.7">
      <c r="B118" s="4">
        <v>513</v>
      </c>
      <c r="C118" s="4">
        <v>543</v>
      </c>
      <c r="D118" s="4">
        <v>591</v>
      </c>
      <c r="E118" s="4">
        <v>564</v>
      </c>
      <c r="F118" s="4">
        <v>545</v>
      </c>
      <c r="G118" s="4">
        <v>567</v>
      </c>
    </row>
    <row r="119" spans="2:8" x14ac:dyDescent="0.7">
      <c r="B119" s="4">
        <v>568</v>
      </c>
      <c r="C119" s="4">
        <v>558</v>
      </c>
      <c r="D119" s="4">
        <v>506</v>
      </c>
      <c r="E119" s="4">
        <v>599</v>
      </c>
      <c r="F119" s="4">
        <v>548</v>
      </c>
      <c r="G119" s="4">
        <v>538</v>
      </c>
    </row>
    <row r="121" spans="2:8" ht="52.3" x14ac:dyDescent="0.7">
      <c r="B121" s="225" t="s">
        <v>83</v>
      </c>
      <c r="C121" s="226"/>
      <c r="D121" s="7" t="s">
        <v>84</v>
      </c>
      <c r="E121" s="7" t="s">
        <v>86</v>
      </c>
      <c r="F121" s="7" t="s">
        <v>92</v>
      </c>
      <c r="G121" s="24" t="s">
        <v>94</v>
      </c>
      <c r="H121" s="25"/>
    </row>
    <row r="122" spans="2:8" x14ac:dyDescent="0.7">
      <c r="B122" s="4" t="s">
        <v>81</v>
      </c>
      <c r="C122" s="4" t="s">
        <v>82</v>
      </c>
      <c r="D122" s="4" t="s">
        <v>85</v>
      </c>
      <c r="E122" s="4" t="s">
        <v>87</v>
      </c>
      <c r="F122" s="4" t="s">
        <v>93</v>
      </c>
      <c r="G122" s="24" t="s">
        <v>63</v>
      </c>
      <c r="H122" s="24" t="s">
        <v>95</v>
      </c>
    </row>
    <row r="123" spans="2:8" x14ac:dyDescent="0.7">
      <c r="B123" s="4">
        <v>500</v>
      </c>
      <c r="C123" s="4">
        <f>B123+10</f>
        <v>510</v>
      </c>
      <c r="D123" s="4">
        <f>FREQUENCY($B$100:$G$119,C123)</f>
        <v>12</v>
      </c>
      <c r="E123" s="4">
        <f>D123</f>
        <v>12</v>
      </c>
      <c r="F123" s="22">
        <f>E123/$E$133</f>
        <v>0.1</v>
      </c>
      <c r="G123" s="24">
        <f>AVERAGE(B123:C123)</f>
        <v>505</v>
      </c>
      <c r="H123" s="26">
        <f>F123</f>
        <v>0.1</v>
      </c>
    </row>
    <row r="124" spans="2:8" x14ac:dyDescent="0.7">
      <c r="B124" s="4">
        <f>C123</f>
        <v>510</v>
      </c>
      <c r="C124" s="4">
        <f>B124+10</f>
        <v>520</v>
      </c>
      <c r="D124" s="4">
        <f>FREQUENCY($B$100:$G$119,C124)</f>
        <v>26</v>
      </c>
      <c r="E124" s="4">
        <f>D124-D123</f>
        <v>14</v>
      </c>
      <c r="F124" s="22">
        <f t="shared" ref="F124:F132" si="7">E124/$E$133</f>
        <v>0.11666666666666667</v>
      </c>
      <c r="G124" s="24">
        <f t="shared" ref="G124:G132" si="8">AVERAGE(B124:C124)</f>
        <v>515</v>
      </c>
      <c r="H124" s="26">
        <f t="shared" ref="H124:H132" si="9">F124</f>
        <v>0.11666666666666667</v>
      </c>
    </row>
    <row r="125" spans="2:8" x14ac:dyDescent="0.7">
      <c r="B125" s="4">
        <f t="shared" ref="B125:B132" si="10">C124</f>
        <v>520</v>
      </c>
      <c r="C125" s="4">
        <f t="shared" ref="C125:C132" si="11">B125+10</f>
        <v>530</v>
      </c>
      <c r="D125" s="4">
        <f t="shared" ref="D125:D132" si="12">FREQUENCY($B$100:$G$119,C125)</f>
        <v>36</v>
      </c>
      <c r="E125" s="4">
        <f t="shared" ref="E125:E132" si="13">D125-D124</f>
        <v>10</v>
      </c>
      <c r="F125" s="22">
        <f t="shared" si="7"/>
        <v>8.3333333333333329E-2</v>
      </c>
      <c r="G125" s="24">
        <f t="shared" si="8"/>
        <v>525</v>
      </c>
      <c r="H125" s="26">
        <f t="shared" si="9"/>
        <v>8.3333333333333329E-2</v>
      </c>
    </row>
    <row r="126" spans="2:8" x14ac:dyDescent="0.7">
      <c r="B126" s="4">
        <f t="shared" si="10"/>
        <v>530</v>
      </c>
      <c r="C126" s="4">
        <f t="shared" si="11"/>
        <v>540</v>
      </c>
      <c r="D126" s="4">
        <f t="shared" si="12"/>
        <v>48</v>
      </c>
      <c r="E126" s="4">
        <f t="shared" si="13"/>
        <v>12</v>
      </c>
      <c r="F126" s="22">
        <f t="shared" si="7"/>
        <v>0.1</v>
      </c>
      <c r="G126" s="24">
        <f t="shared" si="8"/>
        <v>535</v>
      </c>
      <c r="H126" s="26">
        <f t="shared" si="9"/>
        <v>0.1</v>
      </c>
    </row>
    <row r="127" spans="2:8" x14ac:dyDescent="0.7">
      <c r="B127" s="4">
        <f t="shared" si="10"/>
        <v>540</v>
      </c>
      <c r="C127" s="4">
        <f t="shared" si="11"/>
        <v>550</v>
      </c>
      <c r="D127" s="4">
        <f t="shared" si="12"/>
        <v>57</v>
      </c>
      <c r="E127" s="4">
        <f t="shared" si="13"/>
        <v>9</v>
      </c>
      <c r="F127" s="22">
        <f t="shared" si="7"/>
        <v>7.4999999999999997E-2</v>
      </c>
      <c r="G127" s="24">
        <f t="shared" si="8"/>
        <v>545</v>
      </c>
      <c r="H127" s="26">
        <f t="shared" si="9"/>
        <v>7.4999999999999997E-2</v>
      </c>
    </row>
    <row r="128" spans="2:8" x14ac:dyDescent="0.7">
      <c r="B128" s="4">
        <f t="shared" si="10"/>
        <v>550</v>
      </c>
      <c r="C128" s="4">
        <f t="shared" si="11"/>
        <v>560</v>
      </c>
      <c r="D128" s="4">
        <f t="shared" si="12"/>
        <v>69</v>
      </c>
      <c r="E128" s="4">
        <f t="shared" si="13"/>
        <v>12</v>
      </c>
      <c r="F128" s="22">
        <f t="shared" si="7"/>
        <v>0.1</v>
      </c>
      <c r="G128" s="24">
        <f t="shared" si="8"/>
        <v>555</v>
      </c>
      <c r="H128" s="26">
        <f t="shared" si="9"/>
        <v>0.1</v>
      </c>
    </row>
    <row r="129" spans="1:8" x14ac:dyDescent="0.7">
      <c r="B129" s="4">
        <f t="shared" si="10"/>
        <v>560</v>
      </c>
      <c r="C129" s="4">
        <f t="shared" si="11"/>
        <v>570</v>
      </c>
      <c r="D129" s="4">
        <f t="shared" si="12"/>
        <v>88</v>
      </c>
      <c r="E129" s="4">
        <f t="shared" si="13"/>
        <v>19</v>
      </c>
      <c r="F129" s="22">
        <f t="shared" si="7"/>
        <v>0.15833333333333333</v>
      </c>
      <c r="G129" s="24">
        <f t="shared" si="8"/>
        <v>565</v>
      </c>
      <c r="H129" s="26">
        <f t="shared" si="9"/>
        <v>0.15833333333333333</v>
      </c>
    </row>
    <row r="130" spans="1:8" x14ac:dyDescent="0.7">
      <c r="B130" s="4">
        <f t="shared" si="10"/>
        <v>570</v>
      </c>
      <c r="C130" s="4">
        <f t="shared" si="11"/>
        <v>580</v>
      </c>
      <c r="D130" s="4">
        <f t="shared" si="12"/>
        <v>101</v>
      </c>
      <c r="E130" s="4">
        <f t="shared" si="13"/>
        <v>13</v>
      </c>
      <c r="F130" s="22">
        <f t="shared" si="7"/>
        <v>0.10833333333333334</v>
      </c>
      <c r="G130" s="24">
        <f t="shared" si="8"/>
        <v>575</v>
      </c>
      <c r="H130" s="26">
        <f t="shared" si="9"/>
        <v>0.10833333333333334</v>
      </c>
    </row>
    <row r="131" spans="1:8" x14ac:dyDescent="0.7">
      <c r="B131" s="4">
        <f t="shared" si="10"/>
        <v>580</v>
      </c>
      <c r="C131" s="4">
        <f t="shared" si="11"/>
        <v>590</v>
      </c>
      <c r="D131" s="4">
        <f t="shared" si="12"/>
        <v>110</v>
      </c>
      <c r="E131" s="4">
        <f t="shared" si="13"/>
        <v>9</v>
      </c>
      <c r="F131" s="22">
        <f t="shared" si="7"/>
        <v>7.4999999999999997E-2</v>
      </c>
      <c r="G131" s="24">
        <f t="shared" si="8"/>
        <v>585</v>
      </c>
      <c r="H131" s="26">
        <f t="shared" si="9"/>
        <v>7.4999999999999997E-2</v>
      </c>
    </row>
    <row r="132" spans="1:8" x14ac:dyDescent="0.7">
      <c r="B132" s="4">
        <f t="shared" si="10"/>
        <v>590</v>
      </c>
      <c r="C132" s="4">
        <f t="shared" si="11"/>
        <v>600</v>
      </c>
      <c r="D132" s="4">
        <f t="shared" si="12"/>
        <v>120</v>
      </c>
      <c r="E132" s="4">
        <f t="shared" si="13"/>
        <v>10</v>
      </c>
      <c r="F132" s="22">
        <f t="shared" si="7"/>
        <v>8.3333333333333329E-2</v>
      </c>
      <c r="G132" s="24">
        <f t="shared" si="8"/>
        <v>595</v>
      </c>
      <c r="H132" s="26">
        <f t="shared" si="9"/>
        <v>8.3333333333333329E-2</v>
      </c>
    </row>
    <row r="133" spans="1:8" x14ac:dyDescent="0.7">
      <c r="B133" s="4"/>
      <c r="C133" s="4"/>
      <c r="D133" s="4"/>
      <c r="E133" s="5">
        <f>SUM(E123:E132)</f>
        <v>120</v>
      </c>
      <c r="F133" s="23">
        <f>SUM(F123:F132)</f>
        <v>1</v>
      </c>
      <c r="G133" s="23"/>
      <c r="H133" s="23">
        <f t="shared" ref="H133" si="14">SUM(H123:H132)</f>
        <v>1</v>
      </c>
    </row>
    <row r="134" spans="1:8" x14ac:dyDescent="0.7">
      <c r="B134" s="4"/>
      <c r="C134" s="4"/>
      <c r="D134" s="4"/>
      <c r="E134" s="4"/>
      <c r="F134" s="4"/>
    </row>
    <row r="136" spans="1:8" x14ac:dyDescent="0.7">
      <c r="B136" s="1" t="s">
        <v>88</v>
      </c>
    </row>
    <row r="137" spans="1:8" x14ac:dyDescent="0.7">
      <c r="A137" s="1" t="s">
        <v>89</v>
      </c>
      <c r="B137" s="1" t="s">
        <v>90</v>
      </c>
    </row>
    <row r="138" spans="1:8" x14ac:dyDescent="0.7">
      <c r="A138" s="1" t="s">
        <v>91</v>
      </c>
      <c r="B138" s="1" t="s">
        <v>103</v>
      </c>
    </row>
    <row r="139" spans="1:8" x14ac:dyDescent="0.7">
      <c r="B139" s="1" t="s">
        <v>104</v>
      </c>
    </row>
    <row r="140" spans="1:8" x14ac:dyDescent="0.7">
      <c r="B140" s="1" t="s">
        <v>96</v>
      </c>
    </row>
    <row r="142" spans="1:8" x14ac:dyDescent="0.7">
      <c r="B142" s="225" t="s">
        <v>83</v>
      </c>
      <c r="C142" s="226"/>
      <c r="D142" s="4" t="s">
        <v>86</v>
      </c>
      <c r="E142" s="7" t="s">
        <v>94</v>
      </c>
    </row>
    <row r="143" spans="1:8" x14ac:dyDescent="0.7">
      <c r="B143" s="4" t="s">
        <v>81</v>
      </c>
      <c r="C143" s="27" t="s">
        <v>82</v>
      </c>
      <c r="D143" s="4" t="s">
        <v>87</v>
      </c>
      <c r="E143" s="4" t="s">
        <v>63</v>
      </c>
      <c r="F143" s="4" t="s">
        <v>97</v>
      </c>
      <c r="G143" s="4" t="s">
        <v>98</v>
      </c>
    </row>
    <row r="144" spans="1:8" x14ac:dyDescent="0.7">
      <c r="B144" s="4">
        <v>500</v>
      </c>
      <c r="C144" s="27">
        <f>B144+10</f>
        <v>510</v>
      </c>
      <c r="D144" s="4">
        <v>12</v>
      </c>
      <c r="E144" s="4">
        <f>AVERAGE(B144:C144)</f>
        <v>505</v>
      </c>
      <c r="F144" s="4">
        <f>D144*E144</f>
        <v>6060</v>
      </c>
      <c r="G144" s="4">
        <f>D144*(E144-$C$156)^2</f>
        <v>23674.083333333292</v>
      </c>
    </row>
    <row r="145" spans="2:7" x14ac:dyDescent="0.7">
      <c r="B145" s="4">
        <f>C144</f>
        <v>510</v>
      </c>
      <c r="C145" s="27">
        <f>B145+10</f>
        <v>520</v>
      </c>
      <c r="D145" s="4">
        <v>14</v>
      </c>
      <c r="E145" s="4">
        <f t="shared" ref="E145:E153" si="15">AVERAGE(B145:C145)</f>
        <v>515</v>
      </c>
      <c r="F145" s="4">
        <f t="shared" ref="F145:F153" si="16">D145*E145</f>
        <v>7210</v>
      </c>
      <c r="G145" s="4">
        <f t="shared" ref="G145:G153" si="17">D145*(E145-$C$156)^2</f>
        <v>16583.097222222186</v>
      </c>
    </row>
    <row r="146" spans="2:7" x14ac:dyDescent="0.7">
      <c r="B146" s="4">
        <f t="shared" ref="B146:B152" si="18">C145</f>
        <v>520</v>
      </c>
      <c r="C146" s="27">
        <f t="shared" ref="C146:C152" si="19">B146+10</f>
        <v>530</v>
      </c>
      <c r="D146" s="4">
        <v>10</v>
      </c>
      <c r="E146" s="4">
        <f t="shared" si="15"/>
        <v>525</v>
      </c>
      <c r="F146" s="4">
        <f t="shared" si="16"/>
        <v>5250</v>
      </c>
      <c r="G146" s="4">
        <f t="shared" si="17"/>
        <v>5961.7361111110931</v>
      </c>
    </row>
    <row r="147" spans="2:7" x14ac:dyDescent="0.7">
      <c r="B147" s="4">
        <f t="shared" si="18"/>
        <v>530</v>
      </c>
      <c r="C147" s="27">
        <f t="shared" si="19"/>
        <v>540</v>
      </c>
      <c r="D147" s="4">
        <v>12</v>
      </c>
      <c r="E147" s="4">
        <f t="shared" si="15"/>
        <v>535</v>
      </c>
      <c r="F147" s="4">
        <f t="shared" si="16"/>
        <v>6420</v>
      </c>
      <c r="G147" s="4">
        <f t="shared" si="17"/>
        <v>2494.0833333333203</v>
      </c>
    </row>
    <row r="148" spans="2:7" x14ac:dyDescent="0.7">
      <c r="B148" s="4">
        <f t="shared" si="18"/>
        <v>540</v>
      </c>
      <c r="C148" s="27">
        <f t="shared" si="19"/>
        <v>550</v>
      </c>
      <c r="D148" s="4">
        <v>9</v>
      </c>
      <c r="E148" s="4">
        <f t="shared" si="15"/>
        <v>545</v>
      </c>
      <c r="F148" s="4">
        <f t="shared" si="16"/>
        <v>4905</v>
      </c>
      <c r="G148" s="4">
        <f t="shared" si="17"/>
        <v>175.56249999999699</v>
      </c>
    </row>
    <row r="149" spans="2:7" x14ac:dyDescent="0.7">
      <c r="B149" s="4">
        <f t="shared" si="18"/>
        <v>550</v>
      </c>
      <c r="C149" s="27">
        <f t="shared" si="19"/>
        <v>560</v>
      </c>
      <c r="D149" s="4">
        <v>12</v>
      </c>
      <c r="E149" s="4">
        <f t="shared" si="15"/>
        <v>555</v>
      </c>
      <c r="F149" s="4">
        <f t="shared" si="16"/>
        <v>6660</v>
      </c>
      <c r="G149" s="4">
        <f t="shared" si="17"/>
        <v>374.08333333333837</v>
      </c>
    </row>
    <row r="150" spans="2:7" x14ac:dyDescent="0.7">
      <c r="B150" s="4">
        <f t="shared" si="18"/>
        <v>560</v>
      </c>
      <c r="C150" s="27">
        <f t="shared" si="19"/>
        <v>570</v>
      </c>
      <c r="D150" s="4">
        <v>19</v>
      </c>
      <c r="E150" s="4">
        <f t="shared" si="15"/>
        <v>565</v>
      </c>
      <c r="F150" s="4">
        <f t="shared" si="16"/>
        <v>10735</v>
      </c>
      <c r="G150" s="4">
        <f t="shared" si="17"/>
        <v>4613.9652777778001</v>
      </c>
    </row>
    <row r="151" spans="2:7" x14ac:dyDescent="0.7">
      <c r="B151" s="4">
        <f t="shared" si="18"/>
        <v>570</v>
      </c>
      <c r="C151" s="27">
        <f t="shared" si="19"/>
        <v>580</v>
      </c>
      <c r="D151" s="4">
        <v>13</v>
      </c>
      <c r="E151" s="4">
        <f t="shared" si="15"/>
        <v>575</v>
      </c>
      <c r="F151" s="4">
        <f t="shared" si="16"/>
        <v>7475</v>
      </c>
      <c r="G151" s="4">
        <f t="shared" si="17"/>
        <v>8508.5902777778028</v>
      </c>
    </row>
    <row r="152" spans="2:7" x14ac:dyDescent="0.7">
      <c r="B152" s="4">
        <f t="shared" si="18"/>
        <v>580</v>
      </c>
      <c r="C152" s="27">
        <f t="shared" si="19"/>
        <v>590</v>
      </c>
      <c r="D152" s="4">
        <v>9</v>
      </c>
      <c r="E152" s="4">
        <f t="shared" si="15"/>
        <v>585</v>
      </c>
      <c r="F152" s="4">
        <f t="shared" si="16"/>
        <v>5265</v>
      </c>
      <c r="G152" s="4">
        <f t="shared" si="17"/>
        <v>11395.562500000024</v>
      </c>
    </row>
    <row r="153" spans="2:7" x14ac:dyDescent="0.7">
      <c r="B153" s="4">
        <f>C152</f>
        <v>590</v>
      </c>
      <c r="C153" s="27">
        <f>B153+10</f>
        <v>600</v>
      </c>
      <c r="D153" s="4">
        <v>10</v>
      </c>
      <c r="E153" s="4">
        <f t="shared" si="15"/>
        <v>595</v>
      </c>
      <c r="F153" s="4">
        <f t="shared" si="16"/>
        <v>5950</v>
      </c>
      <c r="G153" s="4">
        <f t="shared" si="17"/>
        <v>20778.40277777781</v>
      </c>
    </row>
    <row r="154" spans="2:7" x14ac:dyDescent="0.7">
      <c r="D154" s="5">
        <f>SUM(D144:D153)</f>
        <v>120</v>
      </c>
      <c r="E154" s="5"/>
      <c r="F154" s="5">
        <f t="shared" ref="F154:G154" si="20">SUM(F144:F153)</f>
        <v>65930</v>
      </c>
      <c r="G154" s="5">
        <f t="shared" si="20"/>
        <v>94559.166666666672</v>
      </c>
    </row>
    <row r="156" spans="2:7" x14ac:dyDescent="0.7">
      <c r="B156" s="4" t="s">
        <v>21</v>
      </c>
      <c r="C156" s="8">
        <f>F154/D154</f>
        <v>549.41666666666663</v>
      </c>
    </row>
    <row r="157" spans="2:7" x14ac:dyDescent="0.7">
      <c r="B157" s="4" t="s">
        <v>99</v>
      </c>
      <c r="C157" s="17">
        <f>G154/D154</f>
        <v>787.99305555555554</v>
      </c>
    </row>
    <row r="158" spans="2:7" x14ac:dyDescent="0.7">
      <c r="B158" s="4" t="s">
        <v>65</v>
      </c>
      <c r="C158" s="17">
        <f>SQRT(C157)</f>
        <v>28.071214002168762</v>
      </c>
    </row>
    <row r="159" spans="2:7" ht="52.3" x14ac:dyDescent="0.7">
      <c r="B159" s="7" t="s">
        <v>100</v>
      </c>
      <c r="C159" s="21">
        <f>C158/C156</f>
        <v>5.1092760204159739E-2</v>
      </c>
    </row>
    <row r="161" spans="1:7" x14ac:dyDescent="0.7">
      <c r="B161" s="28"/>
    </row>
    <row r="162" spans="1:7" ht="33.450000000000003" x14ac:dyDescent="0.85">
      <c r="B162" s="29" t="s">
        <v>102</v>
      </c>
    </row>
    <row r="163" spans="1:7" x14ac:dyDescent="0.7">
      <c r="B163" s="1" t="s">
        <v>105</v>
      </c>
    </row>
    <row r="165" spans="1:7" x14ac:dyDescent="0.7">
      <c r="B165" s="30" t="s">
        <v>106</v>
      </c>
    </row>
    <row r="166" spans="1:7" x14ac:dyDescent="0.7">
      <c r="B166" s="30" t="s">
        <v>107</v>
      </c>
    </row>
    <row r="167" spans="1:7" x14ac:dyDescent="0.7">
      <c r="B167" s="30" t="s">
        <v>108</v>
      </c>
    </row>
    <row r="168" spans="1:7" x14ac:dyDescent="0.7">
      <c r="B168" s="30" t="s">
        <v>109</v>
      </c>
    </row>
    <row r="170" spans="1:7" x14ac:dyDescent="0.7">
      <c r="B170" s="30" t="s">
        <v>110</v>
      </c>
    </row>
    <row r="172" spans="1:7" x14ac:dyDescent="0.7">
      <c r="B172" s="30" t="s">
        <v>111</v>
      </c>
    </row>
    <row r="173" spans="1:7" x14ac:dyDescent="0.7">
      <c r="B173" s="30" t="s">
        <v>112</v>
      </c>
    </row>
    <row r="174" spans="1:7" x14ac:dyDescent="0.7">
      <c r="B174" s="30" t="s">
        <v>113</v>
      </c>
    </row>
    <row r="176" spans="1:7" x14ac:dyDescent="0.7">
      <c r="A176" s="30"/>
      <c r="B176" s="30" t="s">
        <v>119</v>
      </c>
      <c r="F176" s="30" t="s">
        <v>131</v>
      </c>
      <c r="G176" s="30"/>
    </row>
    <row r="177" spans="1:7" x14ac:dyDescent="0.7">
      <c r="A177" s="31" t="s">
        <v>18</v>
      </c>
      <c r="B177" s="31" t="s">
        <v>120</v>
      </c>
      <c r="C177" s="31" t="s">
        <v>121</v>
      </c>
      <c r="D177" s="30" t="s">
        <v>129</v>
      </c>
      <c r="E177" s="30"/>
      <c r="F177" s="31" t="s">
        <v>18</v>
      </c>
      <c r="G177" s="31" t="s">
        <v>120</v>
      </c>
    </row>
    <row r="178" spans="1:7" x14ac:dyDescent="0.7">
      <c r="A178" s="31">
        <v>1</v>
      </c>
      <c r="B178" s="31">
        <v>520</v>
      </c>
      <c r="C178" s="31">
        <v>87</v>
      </c>
      <c r="D178" s="33" t="s">
        <v>130</v>
      </c>
      <c r="E178" s="33">
        <f>COUNT(B178:B190)</f>
        <v>13</v>
      </c>
      <c r="F178" s="31">
        <v>1</v>
      </c>
      <c r="G178" s="31">
        <v>520</v>
      </c>
    </row>
    <row r="179" spans="1:7" x14ac:dyDescent="0.7">
      <c r="A179" s="31">
        <v>2</v>
      </c>
      <c r="B179" s="31">
        <v>457</v>
      </c>
      <c r="C179" s="31">
        <v>112</v>
      </c>
      <c r="D179" s="33" t="s">
        <v>21</v>
      </c>
      <c r="E179" s="34">
        <f>AVERAGE(B178:B190)</f>
        <v>293.07692307692309</v>
      </c>
      <c r="F179" s="31">
        <v>2</v>
      </c>
      <c r="G179" s="31">
        <v>457</v>
      </c>
    </row>
    <row r="180" spans="1:7" x14ac:dyDescent="0.7">
      <c r="A180" s="31">
        <v>3</v>
      </c>
      <c r="B180" s="31">
        <v>112</v>
      </c>
      <c r="C180" s="31">
        <v>125</v>
      </c>
      <c r="D180" s="33" t="s">
        <v>127</v>
      </c>
      <c r="E180" s="33">
        <f>MEDIAN(B178:B190)</f>
        <v>258</v>
      </c>
      <c r="F180" s="31">
        <v>3</v>
      </c>
      <c r="G180" s="31">
        <v>112</v>
      </c>
    </row>
    <row r="181" spans="1:7" x14ac:dyDescent="0.7">
      <c r="A181" s="31">
        <v>4</v>
      </c>
      <c r="B181" s="31">
        <v>569</v>
      </c>
      <c r="C181" s="31">
        <v>178</v>
      </c>
      <c r="F181" s="31">
        <v>4</v>
      </c>
      <c r="G181" s="31">
        <v>569</v>
      </c>
    </row>
    <row r="182" spans="1:7" x14ac:dyDescent="0.7">
      <c r="A182" s="31">
        <v>5</v>
      </c>
      <c r="B182" s="31">
        <v>247</v>
      </c>
      <c r="C182" s="31">
        <v>191</v>
      </c>
      <c r="D182" s="30" t="s">
        <v>131</v>
      </c>
      <c r="E182" s="30"/>
      <c r="F182" s="31">
        <v>5</v>
      </c>
      <c r="G182" s="31">
        <v>247</v>
      </c>
    </row>
    <row r="183" spans="1:7" x14ac:dyDescent="0.7">
      <c r="A183" s="31">
        <v>6</v>
      </c>
      <c r="B183" s="31">
        <v>258</v>
      </c>
      <c r="C183" s="31">
        <v>247</v>
      </c>
      <c r="D183" s="33" t="s">
        <v>132</v>
      </c>
      <c r="E183" s="33">
        <f>COUNT(G178:G191)</f>
        <v>14</v>
      </c>
      <c r="F183" s="31">
        <v>6</v>
      </c>
      <c r="G183" s="31">
        <v>258</v>
      </c>
    </row>
    <row r="184" spans="1:7" x14ac:dyDescent="0.7">
      <c r="A184" s="32">
        <v>7</v>
      </c>
      <c r="B184" s="31">
        <v>361</v>
      </c>
      <c r="C184" s="32">
        <v>258</v>
      </c>
      <c r="D184" s="33" t="s">
        <v>21</v>
      </c>
      <c r="E184" s="35">
        <f>AVERAGE(G178:G191)</f>
        <v>4546.5714285714284</v>
      </c>
      <c r="F184" s="31">
        <v>7</v>
      </c>
      <c r="G184" s="31">
        <v>361</v>
      </c>
    </row>
    <row r="185" spans="1:7" x14ac:dyDescent="0.7">
      <c r="A185" s="31">
        <v>8</v>
      </c>
      <c r="B185" s="31">
        <v>411</v>
      </c>
      <c r="C185" s="31">
        <v>294</v>
      </c>
      <c r="D185" s="33" t="s">
        <v>127</v>
      </c>
      <c r="E185" s="33">
        <f>MEDIAN(G178:G191)</f>
        <v>276</v>
      </c>
      <c r="F185" s="31">
        <v>8</v>
      </c>
      <c r="G185" s="31">
        <v>411</v>
      </c>
    </row>
    <row r="186" spans="1:7" x14ac:dyDescent="0.7">
      <c r="A186" s="31">
        <v>9</v>
      </c>
      <c r="B186" s="31">
        <v>87</v>
      </c>
      <c r="C186" s="31">
        <v>361</v>
      </c>
      <c r="F186" s="31">
        <v>9</v>
      </c>
      <c r="G186" s="31">
        <v>87</v>
      </c>
    </row>
    <row r="187" spans="1:7" x14ac:dyDescent="0.7">
      <c r="A187" s="31">
        <v>10</v>
      </c>
      <c r="B187" s="31">
        <v>178</v>
      </c>
      <c r="C187" s="31">
        <v>411</v>
      </c>
      <c r="F187" s="31">
        <v>10</v>
      </c>
      <c r="G187" s="31">
        <v>178</v>
      </c>
    </row>
    <row r="188" spans="1:7" x14ac:dyDescent="0.7">
      <c r="A188" s="31">
        <v>11</v>
      </c>
      <c r="B188" s="31">
        <v>191</v>
      </c>
      <c r="C188" s="31">
        <v>457</v>
      </c>
      <c r="F188" s="31">
        <v>11</v>
      </c>
      <c r="G188" s="31">
        <v>191</v>
      </c>
    </row>
    <row r="189" spans="1:7" x14ac:dyDescent="0.7">
      <c r="A189" s="31">
        <v>12</v>
      </c>
      <c r="B189" s="31">
        <v>294</v>
      </c>
      <c r="C189" s="31">
        <v>520</v>
      </c>
      <c r="F189" s="31">
        <v>12</v>
      </c>
      <c r="G189" s="31">
        <v>294</v>
      </c>
    </row>
    <row r="190" spans="1:7" x14ac:dyDescent="0.7">
      <c r="A190" s="31">
        <v>13</v>
      </c>
      <c r="B190" s="31">
        <v>125</v>
      </c>
      <c r="C190" s="31">
        <v>569</v>
      </c>
      <c r="F190" s="31">
        <v>13</v>
      </c>
      <c r="G190" s="31">
        <v>125</v>
      </c>
    </row>
    <row r="191" spans="1:7" x14ac:dyDescent="0.7">
      <c r="F191" s="31">
        <v>14</v>
      </c>
      <c r="G191" s="31">
        <v>59842</v>
      </c>
    </row>
    <row r="192" spans="1:7" x14ac:dyDescent="0.7">
      <c r="B192" s="30" t="s">
        <v>122</v>
      </c>
    </row>
    <row r="193" spans="1:7" x14ac:dyDescent="0.7">
      <c r="B193" s="31" t="s">
        <v>123</v>
      </c>
      <c r="C193" s="32">
        <f>C184</f>
        <v>258</v>
      </c>
      <c r="D193" s="31">
        <f>MEDIAN(B178:B190)</f>
        <v>258</v>
      </c>
    </row>
    <row r="195" spans="1:7" x14ac:dyDescent="0.7">
      <c r="B195" s="30" t="s">
        <v>124</v>
      </c>
    </row>
    <row r="196" spans="1:7" x14ac:dyDescent="0.7">
      <c r="B196" s="30" t="s">
        <v>125</v>
      </c>
    </row>
    <row r="197" spans="1:7" x14ac:dyDescent="0.7">
      <c r="A197" s="31" t="s">
        <v>126</v>
      </c>
      <c r="B197" s="31" t="s">
        <v>120</v>
      </c>
      <c r="C197" s="31" t="s">
        <v>120</v>
      </c>
    </row>
    <row r="198" spans="1:7" x14ac:dyDescent="0.7">
      <c r="A198" s="31">
        <v>1</v>
      </c>
      <c r="B198" s="31">
        <v>15</v>
      </c>
      <c r="C198" s="31">
        <v>4</v>
      </c>
      <c r="F198" s="3"/>
      <c r="G198" s="3"/>
    </row>
    <row r="199" spans="1:7" x14ac:dyDescent="0.7">
      <c r="A199" s="31">
        <v>2</v>
      </c>
      <c r="B199" s="31">
        <v>19</v>
      </c>
      <c r="C199" s="31">
        <v>7</v>
      </c>
      <c r="D199" s="3"/>
      <c r="F199" s="4">
        <v>7</v>
      </c>
      <c r="G199" s="4">
        <v>11</v>
      </c>
    </row>
    <row r="200" spans="1:7" x14ac:dyDescent="0.7">
      <c r="A200" s="31">
        <v>3</v>
      </c>
      <c r="B200" s="31">
        <v>4</v>
      </c>
      <c r="C200" s="31">
        <v>11</v>
      </c>
      <c r="D200" s="3"/>
      <c r="F200" s="4" t="s">
        <v>150</v>
      </c>
      <c r="G200" s="4">
        <f>7+(1/4)*(11-7)</f>
        <v>8</v>
      </c>
    </row>
    <row r="201" spans="1:7" x14ac:dyDescent="0.7">
      <c r="A201" s="32">
        <v>4</v>
      </c>
      <c r="B201" s="31">
        <v>11</v>
      </c>
      <c r="C201" s="32">
        <v>15</v>
      </c>
      <c r="D201" s="3"/>
      <c r="F201" s="3"/>
      <c r="G201" s="3"/>
    </row>
    <row r="202" spans="1:7" x14ac:dyDescent="0.7">
      <c r="A202" s="32">
        <v>5</v>
      </c>
      <c r="B202" s="31">
        <v>25</v>
      </c>
      <c r="C202" s="32">
        <v>19</v>
      </c>
      <c r="D202" s="3"/>
      <c r="F202" s="3"/>
      <c r="G202" s="3"/>
    </row>
    <row r="203" spans="1:7" x14ac:dyDescent="0.7">
      <c r="A203" s="31">
        <v>6</v>
      </c>
      <c r="B203" s="31">
        <v>39</v>
      </c>
      <c r="C203" s="31">
        <v>25</v>
      </c>
      <c r="D203" s="3"/>
      <c r="F203" s="4">
        <v>25</v>
      </c>
      <c r="G203" s="4">
        <v>29</v>
      </c>
    </row>
    <row r="204" spans="1:7" x14ac:dyDescent="0.7">
      <c r="A204" s="31">
        <v>7</v>
      </c>
      <c r="B204" s="31">
        <v>29</v>
      </c>
      <c r="C204" s="31">
        <v>29</v>
      </c>
      <c r="F204" s="4" t="s">
        <v>151</v>
      </c>
      <c r="G204" s="4">
        <f>25+(3/4)*(29-25)</f>
        <v>28</v>
      </c>
    </row>
    <row r="205" spans="1:7" x14ac:dyDescent="0.7">
      <c r="A205" s="31">
        <v>8</v>
      </c>
      <c r="B205" s="31">
        <v>7</v>
      </c>
      <c r="C205" s="31">
        <v>39</v>
      </c>
    </row>
    <row r="207" spans="1:7" x14ac:dyDescent="0.7">
      <c r="B207" s="31" t="s">
        <v>127</v>
      </c>
      <c r="C207" s="31">
        <f>AVERAGE(C201:C202)</f>
        <v>17</v>
      </c>
      <c r="D207" s="31">
        <f>MEDIAN(B198:B205)</f>
        <v>17</v>
      </c>
    </row>
    <row r="208" spans="1:7" x14ac:dyDescent="0.7">
      <c r="B208" s="31" t="s">
        <v>150</v>
      </c>
      <c r="C208" s="31">
        <f>_xlfn.QUARTILE.EXC(B198:B205,1)</f>
        <v>8</v>
      </c>
      <c r="D208" s="31">
        <f>_xlfn.QUARTILE.EXC(B198:B205,1)</f>
        <v>8</v>
      </c>
    </row>
    <row r="209" spans="1:4" x14ac:dyDescent="0.7">
      <c r="B209" s="31" t="s">
        <v>151</v>
      </c>
      <c r="C209" s="31">
        <f>_xlfn.QUARTILE.EXC(B198:B205,3)</f>
        <v>28</v>
      </c>
      <c r="D209" s="31">
        <f>_xlfn.QUARTILE.EXC(B198:B205,3)</f>
        <v>28</v>
      </c>
    </row>
    <row r="210" spans="1:4" x14ac:dyDescent="0.7">
      <c r="B210" s="31" t="s">
        <v>205</v>
      </c>
      <c r="C210" s="31">
        <f>_xlfn.PERCENTILE.EXC(B198:B205,75%)</f>
        <v>28</v>
      </c>
      <c r="D210" s="31"/>
    </row>
    <row r="211" spans="1:4" x14ac:dyDescent="0.7">
      <c r="B211" s="30" t="s">
        <v>128</v>
      </c>
    </row>
    <row r="212" spans="1:4" x14ac:dyDescent="0.7">
      <c r="B212" s="30" t="s">
        <v>133</v>
      </c>
    </row>
    <row r="213" spans="1:4" x14ac:dyDescent="0.7">
      <c r="B213" s="30" t="s">
        <v>134</v>
      </c>
    </row>
    <row r="215" spans="1:4" x14ac:dyDescent="0.7">
      <c r="B215" s="1" t="s">
        <v>135</v>
      </c>
    </row>
    <row r="216" spans="1:4" x14ac:dyDescent="0.7">
      <c r="B216" s="1" t="s">
        <v>136</v>
      </c>
    </row>
    <row r="218" spans="1:4" x14ac:dyDescent="0.7">
      <c r="A218" s="30" t="s">
        <v>137</v>
      </c>
      <c r="B218" s="30" t="s">
        <v>138</v>
      </c>
    </row>
    <row r="219" spans="1:4" x14ac:dyDescent="0.7">
      <c r="A219" s="30"/>
      <c r="B219" s="30" t="s">
        <v>139</v>
      </c>
    </row>
    <row r="220" spans="1:4" x14ac:dyDescent="0.7">
      <c r="A220" s="30"/>
      <c r="B220" s="30" t="s">
        <v>140</v>
      </c>
    </row>
    <row r="221" spans="1:4" x14ac:dyDescent="0.7">
      <c r="A221" s="30"/>
      <c r="B221" s="30" t="s">
        <v>141</v>
      </c>
    </row>
    <row r="224" spans="1:4" x14ac:dyDescent="0.7">
      <c r="B224" s="30" t="s">
        <v>142</v>
      </c>
    </row>
    <row r="225" spans="2:7" x14ac:dyDescent="0.7">
      <c r="B225" s="30" t="s">
        <v>145</v>
      </c>
    </row>
    <row r="226" spans="2:7" x14ac:dyDescent="0.7">
      <c r="B226" s="30" t="s">
        <v>143</v>
      </c>
    </row>
    <row r="227" spans="2:7" x14ac:dyDescent="0.7">
      <c r="B227" s="30" t="s">
        <v>202</v>
      </c>
    </row>
    <row r="228" spans="2:7" x14ac:dyDescent="0.7">
      <c r="B228" s="30" t="s">
        <v>203</v>
      </c>
    </row>
    <row r="229" spans="2:7" x14ac:dyDescent="0.7">
      <c r="B229" s="31" t="s">
        <v>200</v>
      </c>
      <c r="C229" s="42">
        <f>((177.6/35.3)-1)/6</f>
        <v>0.67186024551463641</v>
      </c>
      <c r="D229" s="1" t="s">
        <v>201</v>
      </c>
    </row>
    <row r="230" spans="2:7" x14ac:dyDescent="0.7">
      <c r="B230" s="31" t="s">
        <v>144</v>
      </c>
      <c r="C230" s="8">
        <f>35.3+(F231-F230)*(4/6)</f>
        <v>130.16666666666669</v>
      </c>
      <c r="E230" s="36">
        <v>1</v>
      </c>
      <c r="F230" s="36">
        <v>35.299999999999997</v>
      </c>
      <c r="G230" s="1" t="s">
        <v>146</v>
      </c>
    </row>
    <row r="231" spans="2:7" x14ac:dyDescent="0.7">
      <c r="E231" s="36">
        <v>2</v>
      </c>
      <c r="F231" s="36">
        <v>177.6</v>
      </c>
      <c r="G231" s="1" t="s">
        <v>146</v>
      </c>
    </row>
    <row r="233" spans="2:7" x14ac:dyDescent="0.7">
      <c r="B233" s="1" t="s">
        <v>147</v>
      </c>
    </row>
    <row r="234" spans="2:7" x14ac:dyDescent="0.7">
      <c r="B234" s="1" t="s">
        <v>148</v>
      </c>
    </row>
    <row r="235" spans="2:7" x14ac:dyDescent="0.7">
      <c r="B235" s="1" t="s">
        <v>149</v>
      </c>
    </row>
    <row r="242" spans="1:2" x14ac:dyDescent="0.7">
      <c r="A242" s="30" t="s">
        <v>152</v>
      </c>
      <c r="B242" s="30" t="s">
        <v>153</v>
      </c>
    </row>
    <row r="243" spans="1:2" x14ac:dyDescent="0.7">
      <c r="A243" s="30"/>
      <c r="B243" s="30" t="s">
        <v>154</v>
      </c>
    </row>
    <row r="244" spans="1:2" x14ac:dyDescent="0.7">
      <c r="A244" s="30"/>
      <c r="B244" s="30" t="s">
        <v>155</v>
      </c>
    </row>
    <row r="245" spans="1:2" x14ac:dyDescent="0.7">
      <c r="A245" s="30"/>
      <c r="B245" s="30" t="s">
        <v>156</v>
      </c>
    </row>
    <row r="247" spans="1:2" x14ac:dyDescent="0.7">
      <c r="A247" s="30" t="s">
        <v>157</v>
      </c>
      <c r="B247" s="30" t="s">
        <v>158</v>
      </c>
    </row>
    <row r="248" spans="1:2" x14ac:dyDescent="0.7">
      <c r="A248" s="30"/>
      <c r="B248" s="30" t="s">
        <v>159</v>
      </c>
    </row>
    <row r="249" spans="1:2" x14ac:dyDescent="0.7">
      <c r="A249" s="30"/>
      <c r="B249" s="30"/>
    </row>
    <row r="250" spans="1:2" x14ac:dyDescent="0.7">
      <c r="A250" s="30" t="s">
        <v>160</v>
      </c>
      <c r="B250" s="30" t="s">
        <v>161</v>
      </c>
    </row>
    <row r="251" spans="1:2" x14ac:dyDescent="0.7">
      <c r="A251" s="30"/>
      <c r="B251" s="30" t="s">
        <v>162</v>
      </c>
    </row>
    <row r="253" spans="1:2" x14ac:dyDescent="0.7">
      <c r="B253" s="30" t="s">
        <v>163</v>
      </c>
    </row>
    <row r="255" spans="1:2" x14ac:dyDescent="0.7">
      <c r="B255" s="30" t="s">
        <v>164</v>
      </c>
    </row>
    <row r="256" spans="1:2" x14ac:dyDescent="0.7">
      <c r="A256" s="1" t="s">
        <v>16</v>
      </c>
    </row>
    <row r="257" spans="1:5" ht="70.3" x14ac:dyDescent="0.7">
      <c r="A257" s="31" t="s">
        <v>18</v>
      </c>
      <c r="B257" s="31" t="s">
        <v>165</v>
      </c>
      <c r="C257" s="37" t="s">
        <v>166</v>
      </c>
    </row>
    <row r="258" spans="1:5" x14ac:dyDescent="0.7">
      <c r="A258" s="31"/>
      <c r="B258" s="31" t="s">
        <v>62</v>
      </c>
      <c r="C258" s="37" t="s">
        <v>63</v>
      </c>
      <c r="D258" s="31" t="s">
        <v>64</v>
      </c>
      <c r="E258" s="31" t="s">
        <v>66</v>
      </c>
    </row>
    <row r="259" spans="1:5" x14ac:dyDescent="0.7">
      <c r="A259" s="31">
        <v>1</v>
      </c>
      <c r="B259" s="31">
        <v>241</v>
      </c>
      <c r="C259" s="31">
        <v>0</v>
      </c>
      <c r="D259" s="31">
        <f>B259*C259</f>
        <v>0</v>
      </c>
      <c r="E259" s="31">
        <f>B259*(C259-$C$266)^2</f>
        <v>81.30233814974666</v>
      </c>
    </row>
    <row r="260" spans="1:5" x14ac:dyDescent="0.7">
      <c r="A260" s="31">
        <v>2</v>
      </c>
      <c r="B260" s="31">
        <v>63</v>
      </c>
      <c r="C260" s="31">
        <v>1</v>
      </c>
      <c r="D260" s="31">
        <f t="shared" ref="D260:D263" si="21">B260*C260</f>
        <v>63</v>
      </c>
      <c r="E260" s="31">
        <f t="shared" ref="E260:E263" si="22">B260*(C260-$C$266)^2</f>
        <v>11.069746669168703</v>
      </c>
    </row>
    <row r="261" spans="1:5" x14ac:dyDescent="0.7">
      <c r="A261" s="31">
        <v>3</v>
      </c>
      <c r="B261" s="31">
        <v>40</v>
      </c>
      <c r="C261" s="31">
        <v>2</v>
      </c>
      <c r="D261" s="31">
        <f t="shared" si="21"/>
        <v>80</v>
      </c>
      <c r="E261" s="31">
        <f t="shared" si="22"/>
        <v>80.562657158941647</v>
      </c>
    </row>
    <row r="262" spans="1:5" x14ac:dyDescent="0.7">
      <c r="A262" s="31">
        <v>4</v>
      </c>
      <c r="B262" s="31">
        <v>15</v>
      </c>
      <c r="C262" s="31">
        <v>3</v>
      </c>
      <c r="D262" s="31">
        <f t="shared" si="21"/>
        <v>45</v>
      </c>
      <c r="E262" s="31">
        <f t="shared" si="22"/>
        <v>87.786338900356554</v>
      </c>
    </row>
    <row r="263" spans="1:5" x14ac:dyDescent="0.7">
      <c r="A263" s="31">
        <v>5</v>
      </c>
      <c r="B263" s="31">
        <v>6</v>
      </c>
      <c r="C263" s="31">
        <v>4</v>
      </c>
      <c r="D263" s="31">
        <f t="shared" si="21"/>
        <v>24</v>
      </c>
      <c r="E263" s="31">
        <f t="shared" si="22"/>
        <v>70.144672546443985</v>
      </c>
    </row>
    <row r="264" spans="1:5" x14ac:dyDescent="0.7">
      <c r="A264" s="31"/>
      <c r="B264" s="32">
        <f>SUM(B259:B263)</f>
        <v>365</v>
      </c>
      <c r="C264" s="32"/>
      <c r="D264" s="32">
        <f>SUM(D259:D263)</f>
        <v>212</v>
      </c>
      <c r="E264" s="32">
        <f>SUM(E259:E263)</f>
        <v>330.86575342465756</v>
      </c>
    </row>
    <row r="266" spans="1:5" x14ac:dyDescent="0.7">
      <c r="B266" s="36" t="s">
        <v>167</v>
      </c>
      <c r="C266" s="38">
        <f>D264/B264</f>
        <v>0.58082191780821912</v>
      </c>
      <c r="D266" s="53">
        <f>SUMPRODUCT(B259:B263,C259:C263)/SUM(B259:B263)</f>
        <v>0.58082191780821912</v>
      </c>
      <c r="E266" s="1" t="s">
        <v>168</v>
      </c>
    </row>
    <row r="267" spans="1:5" x14ac:dyDescent="0.7">
      <c r="B267" s="36" t="s">
        <v>29</v>
      </c>
      <c r="C267" s="38">
        <f>E264/B264</f>
        <v>0.90648151623193851</v>
      </c>
    </row>
    <row r="268" spans="1:5" x14ac:dyDescent="0.7">
      <c r="B268" s="36" t="s">
        <v>65</v>
      </c>
      <c r="C268" s="38">
        <f>SQRT(C267)</f>
        <v>0.95209322875017788</v>
      </c>
      <c r="D268" s="1" t="s">
        <v>169</v>
      </c>
    </row>
    <row r="269" spans="1:5" x14ac:dyDescent="0.7">
      <c r="B269" s="36" t="s">
        <v>127</v>
      </c>
      <c r="C269" s="31">
        <v>0</v>
      </c>
    </row>
    <row r="270" spans="1:5" x14ac:dyDescent="0.7">
      <c r="B270" s="36" t="s">
        <v>151</v>
      </c>
      <c r="C270" s="31">
        <v>1</v>
      </c>
      <c r="D270" s="1" t="s">
        <v>273</v>
      </c>
    </row>
    <row r="271" spans="1:5" x14ac:dyDescent="0.7">
      <c r="B271" s="36" t="s">
        <v>205</v>
      </c>
      <c r="C271" s="31">
        <v>3</v>
      </c>
    </row>
    <row r="272" spans="1:5" x14ac:dyDescent="0.7">
      <c r="B272" s="30"/>
      <c r="C272" s="39"/>
    </row>
    <row r="273" spans="2:7" x14ac:dyDescent="0.7">
      <c r="B273" s="30" t="s">
        <v>170</v>
      </c>
    </row>
    <row r="275" spans="2:7" x14ac:dyDescent="0.7">
      <c r="B275" s="227" t="s">
        <v>83</v>
      </c>
      <c r="C275" s="228"/>
      <c r="D275" s="31" t="s">
        <v>86</v>
      </c>
      <c r="E275" s="37" t="s">
        <v>84</v>
      </c>
    </row>
    <row r="276" spans="2:7" x14ac:dyDescent="0.7">
      <c r="B276" s="31" t="s">
        <v>81</v>
      </c>
      <c r="C276" s="31" t="s">
        <v>82</v>
      </c>
      <c r="D276" s="31" t="s">
        <v>87</v>
      </c>
      <c r="E276" s="31" t="s">
        <v>85</v>
      </c>
      <c r="G276" s="30" t="s">
        <v>187</v>
      </c>
    </row>
    <row r="277" spans="2:7" x14ac:dyDescent="0.7">
      <c r="B277" s="31">
        <v>500</v>
      </c>
      <c r="C277" s="31">
        <v>510</v>
      </c>
      <c r="D277" s="31">
        <v>12</v>
      </c>
      <c r="E277" s="31">
        <f>D277</f>
        <v>12</v>
      </c>
      <c r="G277" s="30" t="s">
        <v>188</v>
      </c>
    </row>
    <row r="278" spans="2:7" x14ac:dyDescent="0.7">
      <c r="B278" s="31">
        <v>510</v>
      </c>
      <c r="C278" s="31">
        <v>520</v>
      </c>
      <c r="D278" s="31">
        <v>14</v>
      </c>
      <c r="E278" s="31">
        <f>D278+E277</f>
        <v>26</v>
      </c>
    </row>
    <row r="279" spans="2:7" x14ac:dyDescent="0.7">
      <c r="B279" s="32">
        <v>520</v>
      </c>
      <c r="C279" s="32">
        <v>530</v>
      </c>
      <c r="D279" s="32">
        <v>10</v>
      </c>
      <c r="E279" s="32">
        <f t="shared" ref="E279:E286" si="23">D279+E278</f>
        <v>36</v>
      </c>
      <c r="F279" s="1" t="s">
        <v>189</v>
      </c>
    </row>
    <row r="280" spans="2:7" x14ac:dyDescent="0.7">
      <c r="B280" s="31">
        <v>530</v>
      </c>
      <c r="C280" s="31">
        <v>540</v>
      </c>
      <c r="D280" s="31">
        <v>12</v>
      </c>
      <c r="E280" s="31">
        <f t="shared" si="23"/>
        <v>48</v>
      </c>
    </row>
    <row r="281" spans="2:7" x14ac:dyDescent="0.7">
      <c r="B281" s="31">
        <v>540</v>
      </c>
      <c r="C281" s="31">
        <v>550</v>
      </c>
      <c r="D281" s="31">
        <v>9</v>
      </c>
      <c r="E281" s="31">
        <f t="shared" si="23"/>
        <v>57</v>
      </c>
    </row>
    <row r="282" spans="2:7" x14ac:dyDescent="0.7">
      <c r="B282" s="32">
        <v>550</v>
      </c>
      <c r="C282" s="32">
        <v>560</v>
      </c>
      <c r="D282" s="32">
        <v>12</v>
      </c>
      <c r="E282" s="32">
        <f t="shared" si="23"/>
        <v>69</v>
      </c>
      <c r="F282" s="1" t="s">
        <v>175</v>
      </c>
    </row>
    <row r="283" spans="2:7" x14ac:dyDescent="0.7">
      <c r="B283" s="31">
        <v>560</v>
      </c>
      <c r="C283" s="31">
        <v>570</v>
      </c>
      <c r="D283" s="31">
        <v>19</v>
      </c>
      <c r="E283" s="31">
        <f t="shared" si="23"/>
        <v>88</v>
      </c>
    </row>
    <row r="284" spans="2:7" x14ac:dyDescent="0.7">
      <c r="B284" s="32">
        <v>570</v>
      </c>
      <c r="C284" s="32">
        <v>580</v>
      </c>
      <c r="D284" s="32">
        <v>13</v>
      </c>
      <c r="E284" s="32">
        <f t="shared" si="23"/>
        <v>101</v>
      </c>
      <c r="F284" s="1" t="s">
        <v>190</v>
      </c>
    </row>
    <row r="285" spans="2:7" x14ac:dyDescent="0.7">
      <c r="B285" s="31">
        <v>580</v>
      </c>
      <c r="C285" s="31">
        <v>590</v>
      </c>
      <c r="D285" s="31">
        <v>9</v>
      </c>
      <c r="E285" s="31">
        <f t="shared" si="23"/>
        <v>110</v>
      </c>
    </row>
    <row r="286" spans="2:7" x14ac:dyDescent="0.7">
      <c r="B286" s="32">
        <v>590</v>
      </c>
      <c r="C286" s="32">
        <v>600</v>
      </c>
      <c r="D286" s="32">
        <v>10</v>
      </c>
      <c r="E286" s="32">
        <f t="shared" si="23"/>
        <v>120</v>
      </c>
      <c r="F286" s="30" t="s">
        <v>206</v>
      </c>
      <c r="G286" s="30" t="s">
        <v>204</v>
      </c>
    </row>
    <row r="287" spans="2:7" x14ac:dyDescent="0.7">
      <c r="B287" s="30"/>
      <c r="C287" s="30"/>
      <c r="D287" s="32">
        <f>SUM(D277:D286)</f>
        <v>120</v>
      </c>
      <c r="E287" s="30"/>
    </row>
    <row r="289" spans="1:8" x14ac:dyDescent="0.7">
      <c r="B289" s="30" t="s">
        <v>171</v>
      </c>
    </row>
    <row r="290" spans="1:8" x14ac:dyDescent="0.7">
      <c r="B290" s="30" t="s">
        <v>172</v>
      </c>
    </row>
    <row r="291" spans="1:8" x14ac:dyDescent="0.7">
      <c r="A291" s="30" t="s">
        <v>173</v>
      </c>
      <c r="B291" s="30" t="s">
        <v>174</v>
      </c>
    </row>
    <row r="292" spans="1:8" x14ac:dyDescent="0.7">
      <c r="A292" s="30" t="s">
        <v>176</v>
      </c>
      <c r="B292" s="30" t="s">
        <v>177</v>
      </c>
    </row>
    <row r="293" spans="1:8" x14ac:dyDescent="0.7">
      <c r="A293" s="30" t="s">
        <v>178</v>
      </c>
      <c r="B293" s="30" t="s">
        <v>179</v>
      </c>
    </row>
    <row r="295" spans="1:8" x14ac:dyDescent="0.7">
      <c r="B295" s="30" t="s">
        <v>180</v>
      </c>
      <c r="F295" s="4" t="s">
        <v>21</v>
      </c>
      <c r="G295" s="8">
        <v>549.41666666666663</v>
      </c>
    </row>
    <row r="296" spans="1:8" x14ac:dyDescent="0.7">
      <c r="B296" s="30" t="s">
        <v>181</v>
      </c>
      <c r="F296" s="4" t="s">
        <v>29</v>
      </c>
      <c r="G296" s="8">
        <v>787.99305555555554</v>
      </c>
    </row>
    <row r="297" spans="1:8" x14ac:dyDescent="0.7">
      <c r="B297" s="30" t="s">
        <v>182</v>
      </c>
      <c r="F297" s="4" t="s">
        <v>65</v>
      </c>
      <c r="G297" s="8">
        <v>28.071214002168762</v>
      </c>
    </row>
    <row r="298" spans="1:8" x14ac:dyDescent="0.7">
      <c r="B298" s="30" t="s">
        <v>183</v>
      </c>
      <c r="F298" s="4" t="s">
        <v>127</v>
      </c>
      <c r="G298" s="8">
        <f>B282+(((D287/2)-E281)/D282)*(C282-B282)</f>
        <v>552.5</v>
      </c>
    </row>
    <row r="299" spans="1:8" x14ac:dyDescent="0.7">
      <c r="B299" s="30" t="s">
        <v>184</v>
      </c>
      <c r="F299" s="4" t="s">
        <v>150</v>
      </c>
      <c r="G299" s="8">
        <f>B279+(((D287/4)-E278)/D279)*(C279-B279)</f>
        <v>524</v>
      </c>
    </row>
    <row r="300" spans="1:8" x14ac:dyDescent="0.7">
      <c r="B300" s="30" t="s">
        <v>185</v>
      </c>
      <c r="F300" s="4" t="s">
        <v>151</v>
      </c>
      <c r="G300" s="8">
        <f>B284+(((D287*3/4)-E283)/D284)*(C284-B284)</f>
        <v>571.53846153846155</v>
      </c>
    </row>
    <row r="301" spans="1:8" ht="47.15" x14ac:dyDescent="0.7">
      <c r="B301" s="30" t="s">
        <v>186</v>
      </c>
      <c r="F301" s="40" t="s">
        <v>191</v>
      </c>
      <c r="G301" s="41">
        <f>G300-G299</f>
        <v>47.538461538461547</v>
      </c>
      <c r="H301" s="1" t="s">
        <v>222</v>
      </c>
    </row>
    <row r="302" spans="1:8" ht="93.45" x14ac:dyDescent="0.7">
      <c r="F302" s="40" t="s">
        <v>192</v>
      </c>
      <c r="G302" s="31">
        <f>G301/2</f>
        <v>23.769230769230774</v>
      </c>
    </row>
    <row r="303" spans="1:8" x14ac:dyDescent="0.7">
      <c r="B303" s="30" t="s">
        <v>187</v>
      </c>
      <c r="F303" s="4" t="s">
        <v>205</v>
      </c>
      <c r="G303" s="8"/>
    </row>
    <row r="304" spans="1:8" x14ac:dyDescent="0.7">
      <c r="B304" s="30" t="s">
        <v>188</v>
      </c>
      <c r="F304" s="4" t="s">
        <v>218</v>
      </c>
      <c r="G304" s="8">
        <f>3*(G295-G298)/G297</f>
        <v>-0.32951905818129079</v>
      </c>
      <c r="H304" s="1" t="s">
        <v>274</v>
      </c>
    </row>
    <row r="305" spans="2:8" x14ac:dyDescent="0.7">
      <c r="B305" s="30" t="s">
        <v>204</v>
      </c>
      <c r="F305" s="4" t="s">
        <v>223</v>
      </c>
      <c r="G305" s="8">
        <f>((G300-G298)-(G298-G299))/G301</f>
        <v>-0.19902912621359201</v>
      </c>
      <c r="H305" s="1" t="s">
        <v>274</v>
      </c>
    </row>
    <row r="306" spans="2:8" x14ac:dyDescent="0.7">
      <c r="B306" s="30"/>
    </row>
    <row r="307" spans="2:8" x14ac:dyDescent="0.7">
      <c r="B307" s="30"/>
    </row>
    <row r="308" spans="2:8" x14ac:dyDescent="0.7">
      <c r="B308" s="1" t="s">
        <v>195</v>
      </c>
    </row>
    <row r="309" spans="2:8" x14ac:dyDescent="0.7">
      <c r="B309" s="30" t="s">
        <v>193</v>
      </c>
    </row>
    <row r="310" spans="2:8" x14ac:dyDescent="0.7">
      <c r="B310" s="30" t="s">
        <v>194</v>
      </c>
    </row>
    <row r="311" spans="2:8" x14ac:dyDescent="0.7">
      <c r="B311" s="30"/>
    </row>
    <row r="312" spans="2:8" x14ac:dyDescent="0.7">
      <c r="B312" s="10" t="s">
        <v>196</v>
      </c>
      <c r="C312" s="10"/>
    </row>
    <row r="313" spans="2:8" x14ac:dyDescent="0.7">
      <c r="B313" s="1" t="s">
        <v>197</v>
      </c>
    </row>
    <row r="314" spans="2:8" x14ac:dyDescent="0.7">
      <c r="B314" s="1" t="s">
        <v>198</v>
      </c>
    </row>
    <row r="315" spans="2:8" x14ac:dyDescent="0.7">
      <c r="B315" s="31" t="s">
        <v>199</v>
      </c>
      <c r="C315" s="22">
        <f>((177.6/35.3)^(1/6))-1</f>
        <v>0.30901525976784261</v>
      </c>
    </row>
    <row r="316" spans="2:8" x14ac:dyDescent="0.7">
      <c r="B316" s="31" t="s">
        <v>144</v>
      </c>
      <c r="C316" s="17">
        <f>35.3*(1+C315)^4</f>
        <v>103.64623786384426</v>
      </c>
      <c r="D316" s="1" t="s">
        <v>146</v>
      </c>
    </row>
    <row r="318" spans="2:8" x14ac:dyDescent="0.7">
      <c r="B318" s="1" t="s">
        <v>207</v>
      </c>
    </row>
    <row r="320" spans="2:8" ht="46.3" x14ac:dyDescent="1.2">
      <c r="B320" s="43" t="s">
        <v>208</v>
      </c>
    </row>
    <row r="321" spans="2:2" x14ac:dyDescent="0.7">
      <c r="B321" s="30" t="s">
        <v>210</v>
      </c>
    </row>
    <row r="322" spans="2:2" x14ac:dyDescent="0.7">
      <c r="B322" s="30" t="s">
        <v>209</v>
      </c>
    </row>
    <row r="335" spans="2:2" x14ac:dyDescent="0.7">
      <c r="B335" s="1" t="s">
        <v>211</v>
      </c>
    </row>
    <row r="337" spans="2:8" x14ac:dyDescent="0.7">
      <c r="B337" s="30" t="s">
        <v>212</v>
      </c>
    </row>
    <row r="338" spans="2:8" x14ac:dyDescent="0.7">
      <c r="B338" s="30" t="s">
        <v>213</v>
      </c>
    </row>
    <row r="339" spans="2:8" x14ac:dyDescent="0.7">
      <c r="B339" s="30" t="s">
        <v>214</v>
      </c>
    </row>
    <row r="341" spans="2:8" x14ac:dyDescent="0.7">
      <c r="B341" s="30" t="s">
        <v>215</v>
      </c>
    </row>
    <row r="342" spans="2:8" x14ac:dyDescent="0.7">
      <c r="B342" s="1" t="s">
        <v>216</v>
      </c>
    </row>
    <row r="343" spans="2:8" x14ac:dyDescent="0.7">
      <c r="B343" s="1" t="s">
        <v>217</v>
      </c>
    </row>
    <row r="345" spans="2:8" x14ac:dyDescent="0.7">
      <c r="B345" s="1" t="s">
        <v>219</v>
      </c>
    </row>
    <row r="346" spans="2:8" x14ac:dyDescent="0.7">
      <c r="B346" s="1" t="s">
        <v>220</v>
      </c>
    </row>
    <row r="347" spans="2:8" x14ac:dyDescent="0.7">
      <c r="B347" s="1" t="s">
        <v>221</v>
      </c>
    </row>
    <row r="350" spans="2:8" x14ac:dyDescent="0.7">
      <c r="B350" s="4"/>
      <c r="C350" s="4"/>
      <c r="D350" s="4" t="s">
        <v>224</v>
      </c>
      <c r="E350" s="4" t="s">
        <v>86</v>
      </c>
    </row>
    <row r="351" spans="2:8" x14ac:dyDescent="0.7">
      <c r="B351" s="4" t="s">
        <v>81</v>
      </c>
      <c r="C351" s="4" t="s">
        <v>82</v>
      </c>
      <c r="D351" s="4" t="s">
        <v>85</v>
      </c>
      <c r="E351" s="4" t="s">
        <v>228</v>
      </c>
      <c r="F351" s="4" t="s">
        <v>63</v>
      </c>
      <c r="G351" s="4" t="s">
        <v>229</v>
      </c>
      <c r="H351" s="4" t="s">
        <v>98</v>
      </c>
    </row>
    <row r="352" spans="2:8" x14ac:dyDescent="0.7">
      <c r="B352" s="4">
        <v>0</v>
      </c>
      <c r="C352" s="4">
        <v>0.1</v>
      </c>
      <c r="D352" s="4">
        <v>1259</v>
      </c>
      <c r="E352" s="4">
        <f>D352</f>
        <v>1259</v>
      </c>
      <c r="F352" s="4">
        <f>AVERAGE(B352:C352)</f>
        <v>0.05</v>
      </c>
      <c r="G352" s="4">
        <f>E352*F352</f>
        <v>62.95</v>
      </c>
      <c r="H352" s="4">
        <f>E352*(F352-$G$365)^2</f>
        <v>460.13030983084263</v>
      </c>
    </row>
    <row r="353" spans="1:8" x14ac:dyDescent="0.7">
      <c r="B353" s="4">
        <v>0.1</v>
      </c>
      <c r="C353" s="4">
        <v>0.2</v>
      </c>
      <c r="D353" s="4">
        <v>4587</v>
      </c>
      <c r="E353" s="4">
        <f>D353-D352</f>
        <v>3328</v>
      </c>
      <c r="F353" s="4">
        <f t="shared" ref="F353:F361" si="24">AVERAGE(B353:C353)</f>
        <v>0.15000000000000002</v>
      </c>
      <c r="G353" s="4">
        <f t="shared" ref="G353:G361" si="25">E353*F353</f>
        <v>499.20000000000005</v>
      </c>
      <c r="H353" s="4">
        <f t="shared" ref="H353:H361" si="26">E353*(F353-$G$365)^2</f>
        <v>847.18946920940778</v>
      </c>
    </row>
    <row r="354" spans="1:8" x14ac:dyDescent="0.7">
      <c r="B354" s="4">
        <v>0.2</v>
      </c>
      <c r="C354" s="4">
        <v>0.3</v>
      </c>
      <c r="D354" s="4">
        <v>8720</v>
      </c>
      <c r="E354" s="4">
        <f t="shared" ref="E354:E361" si="27">D354-D353</f>
        <v>4133</v>
      </c>
      <c r="F354" s="4">
        <f t="shared" si="24"/>
        <v>0.25</v>
      </c>
      <c r="G354" s="4">
        <f t="shared" si="25"/>
        <v>1033.25</v>
      </c>
      <c r="H354" s="4">
        <f t="shared" si="26"/>
        <v>676.38794754016908</v>
      </c>
    </row>
    <row r="355" spans="1:8" x14ac:dyDescent="0.7">
      <c r="B355" s="4">
        <v>0.3</v>
      </c>
      <c r="C355" s="4">
        <v>0.4</v>
      </c>
      <c r="D355" s="4">
        <v>14669</v>
      </c>
      <c r="E355" s="4">
        <f t="shared" si="27"/>
        <v>5949</v>
      </c>
      <c r="F355" s="4">
        <f t="shared" si="24"/>
        <v>0.35</v>
      </c>
      <c r="G355" s="4">
        <f t="shared" si="25"/>
        <v>2082.15</v>
      </c>
      <c r="H355" s="4">
        <f t="shared" si="26"/>
        <v>551.75037644049507</v>
      </c>
    </row>
    <row r="356" spans="1:8" x14ac:dyDescent="0.7">
      <c r="B356" s="4">
        <v>0.4</v>
      </c>
      <c r="C356" s="4">
        <v>0.5</v>
      </c>
      <c r="D356" s="4">
        <v>27026</v>
      </c>
      <c r="E356" s="4">
        <f t="shared" si="27"/>
        <v>12357</v>
      </c>
      <c r="F356" s="4">
        <f t="shared" si="24"/>
        <v>0.45</v>
      </c>
      <c r="G356" s="4">
        <f t="shared" si="25"/>
        <v>5560.6500000000005</v>
      </c>
      <c r="H356" s="4">
        <f t="shared" si="26"/>
        <v>516.99270219803293</v>
      </c>
    </row>
    <row r="357" spans="1:8" x14ac:dyDescent="0.7">
      <c r="B357" s="4">
        <v>0.5</v>
      </c>
      <c r="C357" s="4">
        <v>0.6</v>
      </c>
      <c r="D357" s="4">
        <v>49474</v>
      </c>
      <c r="E357" s="4">
        <f t="shared" si="27"/>
        <v>22448</v>
      </c>
      <c r="F357" s="4">
        <f t="shared" si="24"/>
        <v>0.55000000000000004</v>
      </c>
      <c r="G357" s="4">
        <f t="shared" si="25"/>
        <v>12346.400000000001</v>
      </c>
      <c r="H357" s="4">
        <f t="shared" si="26"/>
        <v>245.34190046922751</v>
      </c>
    </row>
    <row r="358" spans="1:8" ht="52.3" x14ac:dyDescent="0.7">
      <c r="A358" s="44" t="s">
        <v>230</v>
      </c>
      <c r="B358" s="5">
        <v>0.6</v>
      </c>
      <c r="C358" s="5">
        <v>0.7</v>
      </c>
      <c r="D358" s="5">
        <v>102369</v>
      </c>
      <c r="E358" s="4">
        <f t="shared" si="27"/>
        <v>52895</v>
      </c>
      <c r="F358" s="4">
        <f t="shared" si="24"/>
        <v>0.64999999999999991</v>
      </c>
      <c r="G358" s="4">
        <f t="shared" si="25"/>
        <v>34381.749999999993</v>
      </c>
      <c r="H358" s="4">
        <f t="shared" si="26"/>
        <v>1.0919322330637662</v>
      </c>
    </row>
    <row r="359" spans="1:8" x14ac:dyDescent="0.7">
      <c r="A359" s="1" t="s">
        <v>231</v>
      </c>
      <c r="B359" s="45">
        <v>0.7</v>
      </c>
      <c r="C359" s="45">
        <v>0.8</v>
      </c>
      <c r="D359" s="45">
        <v>189362</v>
      </c>
      <c r="E359" s="4">
        <f t="shared" si="27"/>
        <v>86993</v>
      </c>
      <c r="F359" s="4">
        <f t="shared" si="24"/>
        <v>0.75</v>
      </c>
      <c r="G359" s="4">
        <f t="shared" si="25"/>
        <v>65244.75</v>
      </c>
      <c r="H359" s="4">
        <f t="shared" si="26"/>
        <v>792.67529152200518</v>
      </c>
    </row>
    <row r="360" spans="1:8" x14ac:dyDescent="0.7">
      <c r="B360" s="4">
        <v>0.8</v>
      </c>
      <c r="C360" s="4">
        <v>0.9</v>
      </c>
      <c r="D360" s="4">
        <v>193447</v>
      </c>
      <c r="E360" s="4">
        <f t="shared" si="27"/>
        <v>4085</v>
      </c>
      <c r="F360" s="4">
        <f t="shared" si="24"/>
        <v>0.85000000000000009</v>
      </c>
      <c r="G360" s="4">
        <f t="shared" si="25"/>
        <v>3472.2500000000005</v>
      </c>
      <c r="H360" s="4">
        <f t="shared" si="26"/>
        <v>156.06024925734147</v>
      </c>
    </row>
    <row r="361" spans="1:8" x14ac:dyDescent="0.7">
      <c r="B361" s="4">
        <v>0.9</v>
      </c>
      <c r="C361" s="4">
        <v>1</v>
      </c>
      <c r="D361" s="4">
        <v>200000</v>
      </c>
      <c r="E361" s="4">
        <f t="shared" si="27"/>
        <v>6553</v>
      </c>
      <c r="F361" s="4">
        <f t="shared" si="24"/>
        <v>0.95</v>
      </c>
      <c r="G361" s="4">
        <f t="shared" si="25"/>
        <v>6225.3499999999995</v>
      </c>
      <c r="H361" s="4">
        <f t="shared" si="26"/>
        <v>572.04114284941431</v>
      </c>
    </row>
    <row r="362" spans="1:8" x14ac:dyDescent="0.7">
      <c r="D362" s="4"/>
      <c r="E362" s="5">
        <f>SUM(E352:E361)</f>
        <v>200000</v>
      </c>
      <c r="F362" s="5"/>
      <c r="G362" s="5">
        <f t="shared" ref="G362:H362" si="28">SUM(G352:G361)</f>
        <v>130908.7</v>
      </c>
      <c r="H362" s="5">
        <f t="shared" si="28"/>
        <v>4819.6613215500001</v>
      </c>
    </row>
    <row r="363" spans="1:8" x14ac:dyDescent="0.7">
      <c r="A363" s="1" t="s">
        <v>150</v>
      </c>
      <c r="B363" s="1" t="s">
        <v>227</v>
      </c>
    </row>
    <row r="364" spans="1:8" x14ac:dyDescent="0.7">
      <c r="A364" s="1" t="s">
        <v>226</v>
      </c>
      <c r="B364" s="1" t="s">
        <v>225</v>
      </c>
    </row>
    <row r="365" spans="1:8" x14ac:dyDescent="0.7">
      <c r="B365" s="30" t="s">
        <v>213</v>
      </c>
      <c r="F365" s="4" t="s">
        <v>21</v>
      </c>
      <c r="G365" s="17">
        <f>G362/E362</f>
        <v>0.65454349999999994</v>
      </c>
    </row>
    <row r="366" spans="1:8" x14ac:dyDescent="0.7">
      <c r="B366" s="30" t="s">
        <v>220</v>
      </c>
      <c r="F366" s="4" t="s">
        <v>29</v>
      </c>
      <c r="G366" s="17">
        <f>H362/E362</f>
        <v>2.409830660775E-2</v>
      </c>
    </row>
    <row r="367" spans="1:8" x14ac:dyDescent="0.7">
      <c r="F367" s="4" t="s">
        <v>65</v>
      </c>
      <c r="G367" s="17">
        <f>SQRT(G366)</f>
        <v>0.15523629281759468</v>
      </c>
    </row>
    <row r="368" spans="1:8" x14ac:dyDescent="0.7">
      <c r="F368" s="4" t="s">
        <v>127</v>
      </c>
      <c r="G368" s="17">
        <f>B358+(((E362/2)-D357)/E358)*(C358-B358)</f>
        <v>0.69552131581434917</v>
      </c>
    </row>
    <row r="369" spans="2:7" x14ac:dyDescent="0.7">
      <c r="F369" s="4" t="s">
        <v>150</v>
      </c>
      <c r="G369" s="17">
        <f>B358+(((E362/4)-D357)/E358)*(C358-B358)</f>
        <v>0.60099442291331884</v>
      </c>
    </row>
    <row r="370" spans="2:7" x14ac:dyDescent="0.7">
      <c r="F370" s="4" t="s">
        <v>151</v>
      </c>
      <c r="G370" s="17">
        <f>B359+(((3*E362/4)-D358)/E359)*(C359-B359)</f>
        <v>0.75475268125021555</v>
      </c>
    </row>
    <row r="371" spans="2:7" x14ac:dyDescent="0.7">
      <c r="F371" s="4" t="s">
        <v>218</v>
      </c>
      <c r="G371" s="17">
        <f>3*(G365-G368)/G367</f>
        <v>-0.79191177019085734</v>
      </c>
    </row>
    <row r="372" spans="2:7" x14ac:dyDescent="0.7">
      <c r="F372" s="4" t="s">
        <v>223</v>
      </c>
      <c r="G372" s="17">
        <f>((G370-G368)-(G368-G369))/(G370-G369)</f>
        <v>-0.22955207640183212</v>
      </c>
    </row>
    <row r="375" spans="2:7" x14ac:dyDescent="0.7">
      <c r="B375" s="1" t="s">
        <v>232</v>
      </c>
    </row>
    <row r="391" spans="1:8" x14ac:dyDescent="0.7">
      <c r="B391" s="1" t="s">
        <v>233</v>
      </c>
    </row>
    <row r="393" spans="1:8" x14ac:dyDescent="0.7">
      <c r="B393" s="1" t="s">
        <v>234</v>
      </c>
      <c r="E393" s="1" t="s">
        <v>235</v>
      </c>
    </row>
    <row r="394" spans="1:8" x14ac:dyDescent="0.7">
      <c r="B394" s="1" t="s">
        <v>236</v>
      </c>
      <c r="E394" s="1" t="s">
        <v>237</v>
      </c>
    </row>
    <row r="396" spans="1:8" x14ac:dyDescent="0.7">
      <c r="B396" s="1" t="s">
        <v>238</v>
      </c>
    </row>
    <row r="399" spans="1:8" x14ac:dyDescent="0.7">
      <c r="A399" s="225" t="s">
        <v>240</v>
      </c>
      <c r="B399" s="226"/>
      <c r="C399" s="4" t="s">
        <v>224</v>
      </c>
      <c r="D399" s="4"/>
      <c r="E399" s="4" t="s">
        <v>241</v>
      </c>
      <c r="F399" s="4"/>
      <c r="G399" s="4"/>
      <c r="H399" s="4"/>
    </row>
    <row r="400" spans="1:8" x14ac:dyDescent="0.7">
      <c r="A400" s="4" t="s">
        <v>82</v>
      </c>
      <c r="B400" s="4" t="s">
        <v>81</v>
      </c>
      <c r="C400" s="4" t="s">
        <v>85</v>
      </c>
      <c r="D400" s="4" t="s">
        <v>228</v>
      </c>
      <c r="E400" s="4" t="s">
        <v>63</v>
      </c>
      <c r="F400" s="4" t="s">
        <v>97</v>
      </c>
      <c r="G400" s="4" t="s">
        <v>242</v>
      </c>
      <c r="H400" s="4" t="s">
        <v>243</v>
      </c>
    </row>
    <row r="401" spans="1:8" x14ac:dyDescent="0.7">
      <c r="A401" s="4">
        <v>0</v>
      </c>
      <c r="B401" s="4">
        <f>A401+0.1</f>
        <v>0.1</v>
      </c>
      <c r="C401" s="4">
        <v>1257</v>
      </c>
      <c r="D401" s="4">
        <f>C401</f>
        <v>1257</v>
      </c>
      <c r="E401" s="4">
        <f>AVERAGE(A401:B401)</f>
        <v>0.05</v>
      </c>
      <c r="F401" s="4">
        <f>D401*E401</f>
        <v>62.85</v>
      </c>
      <c r="G401" s="4">
        <f>D401*(E401-$F$413)^2</f>
        <v>323.56110788946648</v>
      </c>
      <c r="H401" s="4">
        <f>D401*(E401-$F$413)^4</f>
        <v>83.287025090420812</v>
      </c>
    </row>
    <row r="402" spans="1:8" x14ac:dyDescent="0.7">
      <c r="A402" s="4">
        <f>B401</f>
        <v>0.1</v>
      </c>
      <c r="B402" s="4">
        <f>A402+0.1</f>
        <v>0.2</v>
      </c>
      <c r="C402" s="4">
        <v>3988</v>
      </c>
      <c r="D402" s="4">
        <f>C402-C401</f>
        <v>2731</v>
      </c>
      <c r="E402" s="4">
        <f t="shared" ref="E402:E410" si="29">AVERAGE(A402:B402)</f>
        <v>0.15000000000000002</v>
      </c>
      <c r="F402" s="4">
        <f t="shared" ref="F402:F410" si="30">D402*E402</f>
        <v>409.65000000000003</v>
      </c>
      <c r="G402" s="4">
        <f t="shared" ref="G402:G410" si="31">D402*(E402-$F$413)^2</f>
        <v>453.17323196351094</v>
      </c>
      <c r="H402" s="4">
        <f t="shared" ref="H402:H410" si="32">D402*(E402-$F$413)^4</f>
        <v>75.198087941506429</v>
      </c>
    </row>
    <row r="403" spans="1:8" x14ac:dyDescent="0.7">
      <c r="A403" s="4">
        <f t="shared" ref="A403:A410" si="33">B402</f>
        <v>0.2</v>
      </c>
      <c r="B403" s="4">
        <f t="shared" ref="B403:B410" si="34">A403+0.1</f>
        <v>0.30000000000000004</v>
      </c>
      <c r="C403" s="4">
        <v>11425</v>
      </c>
      <c r="D403" s="4">
        <f t="shared" ref="D403:D410" si="35">C403-C402</f>
        <v>7437</v>
      </c>
      <c r="E403" s="4">
        <f t="shared" si="29"/>
        <v>0.25</v>
      </c>
      <c r="F403" s="4">
        <f t="shared" si="30"/>
        <v>1859.25</v>
      </c>
      <c r="G403" s="4">
        <f t="shared" si="31"/>
        <v>702.54417382813301</v>
      </c>
      <c r="H403" s="4">
        <f t="shared" si="32"/>
        <v>66.366588164562856</v>
      </c>
    </row>
    <row r="404" spans="1:8" x14ac:dyDescent="0.7">
      <c r="A404" s="4">
        <f t="shared" si="33"/>
        <v>0.30000000000000004</v>
      </c>
      <c r="B404" s="4">
        <f t="shared" si="34"/>
        <v>0.4</v>
      </c>
      <c r="C404" s="4">
        <v>29840</v>
      </c>
      <c r="D404" s="4">
        <f t="shared" si="35"/>
        <v>18415</v>
      </c>
      <c r="E404" s="4">
        <f t="shared" si="29"/>
        <v>0.35000000000000003</v>
      </c>
      <c r="F404" s="4">
        <f t="shared" si="30"/>
        <v>6445.2500000000009</v>
      </c>
      <c r="G404" s="4">
        <f t="shared" si="31"/>
        <v>791.7603802104436</v>
      </c>
      <c r="H404" s="4">
        <f t="shared" si="32"/>
        <v>34.042058086939242</v>
      </c>
    </row>
    <row r="405" spans="1:8" x14ac:dyDescent="0.7">
      <c r="A405" s="45">
        <f t="shared" si="33"/>
        <v>0.4</v>
      </c>
      <c r="B405" s="45">
        <f t="shared" si="34"/>
        <v>0.5</v>
      </c>
      <c r="C405" s="45">
        <v>55024</v>
      </c>
      <c r="D405" s="45">
        <f t="shared" si="35"/>
        <v>25184</v>
      </c>
      <c r="E405" s="4">
        <f t="shared" si="29"/>
        <v>0.45</v>
      </c>
      <c r="F405" s="4">
        <f t="shared" si="30"/>
        <v>11332.800000000001</v>
      </c>
      <c r="G405" s="4">
        <f t="shared" si="31"/>
        <v>290.23900626915508</v>
      </c>
      <c r="H405" s="4">
        <f t="shared" si="32"/>
        <v>3.3449285562304096</v>
      </c>
    </row>
    <row r="406" spans="1:8" x14ac:dyDescent="0.7">
      <c r="A406" s="5">
        <f t="shared" si="33"/>
        <v>0.5</v>
      </c>
      <c r="B406" s="5">
        <f t="shared" si="34"/>
        <v>0.6</v>
      </c>
      <c r="C406" s="5">
        <v>98362</v>
      </c>
      <c r="D406" s="5">
        <f t="shared" si="35"/>
        <v>43338</v>
      </c>
      <c r="E406" s="4">
        <f t="shared" si="29"/>
        <v>0.55000000000000004</v>
      </c>
      <c r="F406" s="4">
        <f t="shared" si="30"/>
        <v>23835.9</v>
      </c>
      <c r="G406" s="4">
        <f t="shared" si="31"/>
        <v>2.3433511485332561</v>
      </c>
      <c r="H406" s="4">
        <f t="shared" si="32"/>
        <v>1.2670853766514676E-4</v>
      </c>
    </row>
    <row r="407" spans="1:8" x14ac:dyDescent="0.7">
      <c r="A407" s="46">
        <f t="shared" si="33"/>
        <v>0.6</v>
      </c>
      <c r="B407" s="46">
        <f t="shared" si="34"/>
        <v>0.7</v>
      </c>
      <c r="C407" s="46">
        <v>154284</v>
      </c>
      <c r="D407" s="46">
        <f t="shared" si="35"/>
        <v>55922</v>
      </c>
      <c r="E407" s="4">
        <f t="shared" si="29"/>
        <v>0.64999999999999991</v>
      </c>
      <c r="F407" s="4">
        <f t="shared" si="30"/>
        <v>36349.299999999996</v>
      </c>
      <c r="G407" s="4">
        <f t="shared" si="31"/>
        <v>480.00116571102211</v>
      </c>
      <c r="H407" s="4">
        <f t="shared" si="32"/>
        <v>4.1200443311029664</v>
      </c>
    </row>
    <row r="408" spans="1:8" x14ac:dyDescent="0.7">
      <c r="A408" s="4">
        <f>B407</f>
        <v>0.7</v>
      </c>
      <c r="B408" s="4">
        <f>A408+0.1</f>
        <v>0.79999999999999993</v>
      </c>
      <c r="C408" s="4">
        <v>175241</v>
      </c>
      <c r="D408" s="4">
        <f t="shared" si="35"/>
        <v>20957</v>
      </c>
      <c r="E408" s="4">
        <f t="shared" si="29"/>
        <v>0.75</v>
      </c>
      <c r="F408" s="4">
        <f t="shared" si="30"/>
        <v>15717.75</v>
      </c>
      <c r="G408" s="4">
        <f t="shared" si="31"/>
        <v>777.7716539916895</v>
      </c>
      <c r="H408" s="4">
        <f t="shared" si="32"/>
        <v>28.865235756690765</v>
      </c>
    </row>
    <row r="409" spans="1:8" x14ac:dyDescent="0.7">
      <c r="A409" s="4">
        <f t="shared" si="33"/>
        <v>0.79999999999999993</v>
      </c>
      <c r="B409" s="4">
        <f t="shared" si="34"/>
        <v>0.89999999999999991</v>
      </c>
      <c r="C409" s="4">
        <v>177343</v>
      </c>
      <c r="D409" s="4">
        <f t="shared" si="35"/>
        <v>2102</v>
      </c>
      <c r="E409" s="4">
        <f t="shared" si="29"/>
        <v>0.84999999999999987</v>
      </c>
      <c r="F409" s="4">
        <f t="shared" si="30"/>
        <v>1786.6999999999998</v>
      </c>
      <c r="G409" s="4">
        <f t="shared" si="31"/>
        <v>180.01963431635551</v>
      </c>
      <c r="H409" s="4">
        <f t="shared" si="32"/>
        <v>15.417254395525385</v>
      </c>
    </row>
    <row r="410" spans="1:8" x14ac:dyDescent="0.7">
      <c r="A410" s="4">
        <f t="shared" si="33"/>
        <v>0.89999999999999991</v>
      </c>
      <c r="B410" s="4">
        <f t="shared" si="34"/>
        <v>0.99999999999999989</v>
      </c>
      <c r="C410" s="4">
        <v>180000</v>
      </c>
      <c r="D410" s="4">
        <f t="shared" si="35"/>
        <v>2657</v>
      </c>
      <c r="E410" s="4">
        <f t="shared" si="29"/>
        <v>0.95</v>
      </c>
      <c r="F410" s="4">
        <f t="shared" si="30"/>
        <v>2524.15</v>
      </c>
      <c r="G410" s="4">
        <f t="shared" si="31"/>
        <v>409.63342267168895</v>
      </c>
      <c r="H410" s="4">
        <f t="shared" si="32"/>
        <v>63.153760244532393</v>
      </c>
    </row>
    <row r="411" spans="1:8" x14ac:dyDescent="0.7">
      <c r="A411" s="3"/>
      <c r="B411" s="3"/>
      <c r="C411" s="4"/>
      <c r="D411" s="5">
        <f>SUM(D401:D410)</f>
        <v>180000</v>
      </c>
      <c r="E411" s="5"/>
      <c r="F411" s="5">
        <f t="shared" ref="F411:H411" si="36">SUM(F401:F410)</f>
        <v>100323.59999999999</v>
      </c>
      <c r="G411" s="5">
        <f t="shared" si="36"/>
        <v>4411.0471279999983</v>
      </c>
      <c r="H411" s="5">
        <f t="shared" si="36"/>
        <v>373.79510927604895</v>
      </c>
    </row>
    <row r="413" spans="1:8" x14ac:dyDescent="0.7">
      <c r="B413" s="10" t="s">
        <v>218</v>
      </c>
      <c r="C413" s="17">
        <f>3*(F413-F414)/F416</f>
        <v>-0.44751481841972224</v>
      </c>
      <c r="E413" s="4" t="s">
        <v>21</v>
      </c>
      <c r="F413" s="17">
        <f>F411/D411</f>
        <v>0.55735333333333326</v>
      </c>
    </row>
    <row r="414" spans="1:8" ht="52.3" x14ac:dyDescent="0.7">
      <c r="B414" s="16" t="s">
        <v>223</v>
      </c>
      <c r="C414" s="17">
        <f>((F418-F414)-(F414-F417))/(F418-F417)</f>
        <v>-0.17386141330332056</v>
      </c>
      <c r="E414" s="7" t="s">
        <v>127</v>
      </c>
      <c r="F414" s="17">
        <f>A406+(((D411/2)-C405)/D406)*(B406-A406)</f>
        <v>0.58070515482947993</v>
      </c>
    </row>
    <row r="415" spans="1:8" x14ac:dyDescent="0.7">
      <c r="B415" s="10" t="s">
        <v>239</v>
      </c>
      <c r="C415" s="17">
        <f>(H411/D411)/(F416^4)</f>
        <v>3.4579819674605692</v>
      </c>
      <c r="E415" s="4" t="s">
        <v>29</v>
      </c>
      <c r="F415" s="17">
        <f>G411/D411</f>
        <v>2.450581737777777E-2</v>
      </c>
    </row>
    <row r="416" spans="1:8" x14ac:dyDescent="0.7">
      <c r="E416" s="4" t="s">
        <v>65</v>
      </c>
      <c r="F416" s="17">
        <f>SQRT(F415)</f>
        <v>0.1565433402536747</v>
      </c>
    </row>
    <row r="417" spans="1:8" x14ac:dyDescent="0.7">
      <c r="B417" s="1" t="s">
        <v>244</v>
      </c>
      <c r="E417" s="4" t="s">
        <v>150</v>
      </c>
      <c r="F417" s="17">
        <f>A405+(((D411/4)-C404)/D405)*(B405-A405)</f>
        <v>0.4601969504447268</v>
      </c>
    </row>
    <row r="418" spans="1:8" x14ac:dyDescent="0.7">
      <c r="B418" s="1" t="s">
        <v>245</v>
      </c>
      <c r="E418" s="4" t="s">
        <v>151</v>
      </c>
      <c r="F418" s="17">
        <f>A407+(((D411*3/4)-C406)/D407)*(B407-A407)</f>
        <v>0.66551625478344834</v>
      </c>
      <c r="G418" s="48"/>
    </row>
    <row r="419" spans="1:8" x14ac:dyDescent="0.7">
      <c r="B419" s="1" t="s">
        <v>246</v>
      </c>
      <c r="E419" s="4" t="s">
        <v>247</v>
      </c>
      <c r="F419" s="47"/>
    </row>
    <row r="420" spans="1:8" x14ac:dyDescent="0.7">
      <c r="B420" s="1" t="s">
        <v>236</v>
      </c>
      <c r="E420" s="1" t="s">
        <v>237</v>
      </c>
    </row>
    <row r="421" spans="1:8" x14ac:dyDescent="0.7">
      <c r="B421" s="1" t="s">
        <v>213</v>
      </c>
    </row>
    <row r="422" spans="1:8" x14ac:dyDescent="0.7">
      <c r="B422" s="1" t="s">
        <v>220</v>
      </c>
    </row>
    <row r="424" spans="1:8" x14ac:dyDescent="0.7">
      <c r="A424" s="1" t="s">
        <v>275</v>
      </c>
    </row>
    <row r="425" spans="1:8" x14ac:dyDescent="0.7">
      <c r="B425" s="4" t="s">
        <v>276</v>
      </c>
      <c r="C425" s="4" t="s">
        <v>277</v>
      </c>
      <c r="G425" s="54" t="s">
        <v>276</v>
      </c>
      <c r="H425" s="54" t="s">
        <v>277</v>
      </c>
    </row>
    <row r="426" spans="1:8" x14ac:dyDescent="0.7">
      <c r="B426" s="4">
        <v>39</v>
      </c>
      <c r="C426" s="4">
        <v>66</v>
      </c>
      <c r="F426" s="10" t="s">
        <v>21</v>
      </c>
      <c r="G426" s="17">
        <f>AVERAGE(B426:B437)</f>
        <v>50.583333333333336</v>
      </c>
      <c r="H426" s="17">
        <f>AVERAGE(C426:C437)</f>
        <v>52.833333333333336</v>
      </c>
    </row>
    <row r="427" spans="1:8" x14ac:dyDescent="0.7">
      <c r="B427" s="4">
        <v>65</v>
      </c>
      <c r="C427" s="4">
        <v>67</v>
      </c>
      <c r="F427" s="10" t="s">
        <v>65</v>
      </c>
      <c r="G427" s="17">
        <f>_xlfn.STDEV.P(B426:B437)</f>
        <v>21.07707416971235</v>
      </c>
      <c r="H427" s="17">
        <f>_xlfn.STDEV.P(C426:C437)</f>
        <v>17.624950748552148</v>
      </c>
    </row>
    <row r="428" spans="1:8" x14ac:dyDescent="0.7">
      <c r="B428" s="4">
        <v>48</v>
      </c>
      <c r="C428" s="4">
        <v>40</v>
      </c>
      <c r="F428" s="10" t="s">
        <v>44</v>
      </c>
      <c r="G428" s="17">
        <f>G427/G426</f>
        <v>0.41668021422825074</v>
      </c>
      <c r="H428" s="48">
        <f>H427/H426</f>
        <v>0.33359528230698071</v>
      </c>
    </row>
    <row r="429" spans="1:8" x14ac:dyDescent="0.7">
      <c r="B429" s="4">
        <v>74</v>
      </c>
      <c r="C429" s="4">
        <v>22</v>
      </c>
      <c r="F429" s="10" t="s">
        <v>127</v>
      </c>
      <c r="G429" s="17">
        <f>MEDIAN(B426:B437)</f>
        <v>50.5</v>
      </c>
      <c r="H429" s="17">
        <f>MEDIAN(C426:C437)</f>
        <v>53.5</v>
      </c>
    </row>
    <row r="430" spans="1:8" x14ac:dyDescent="0.7">
      <c r="B430" s="4">
        <v>12</v>
      </c>
      <c r="C430" s="4">
        <v>89</v>
      </c>
      <c r="F430" s="10" t="s">
        <v>283</v>
      </c>
      <c r="G430" s="17">
        <f>_xlfn.SKEW.P(B426:B437)</f>
        <v>-0.40167706932614133</v>
      </c>
      <c r="H430" s="17">
        <f>_xlfn.SKEW.P(C426:C437)</f>
        <v>0.18121612643655718</v>
      </c>
    </row>
    <row r="431" spans="1:8" x14ac:dyDescent="0.7">
      <c r="B431" s="4">
        <v>15</v>
      </c>
      <c r="C431" s="4">
        <v>46</v>
      </c>
      <c r="F431" s="10" t="s">
        <v>284</v>
      </c>
      <c r="G431" s="17">
        <f>KURT(B426:B437)</f>
        <v>-0.39299528554465502</v>
      </c>
      <c r="H431" s="17">
        <f>KURT(C426:C437)</f>
        <v>3.7151407199473852E-3</v>
      </c>
    </row>
    <row r="432" spans="1:8" x14ac:dyDescent="0.7">
      <c r="B432" s="4">
        <v>49</v>
      </c>
      <c r="C432" s="4">
        <v>59</v>
      </c>
    </row>
    <row r="433" spans="1:7" x14ac:dyDescent="0.7">
      <c r="B433" s="4">
        <v>52</v>
      </c>
      <c r="C433" s="4">
        <v>62</v>
      </c>
      <c r="E433" s="224" t="s">
        <v>285</v>
      </c>
      <c r="F433" s="10" t="s">
        <v>21</v>
      </c>
      <c r="G433" s="10">
        <f>AVERAGE(B426:C437)</f>
        <v>51.708333333333336</v>
      </c>
    </row>
    <row r="434" spans="1:7" x14ac:dyDescent="0.7">
      <c r="B434" s="4">
        <v>55</v>
      </c>
      <c r="C434" s="4">
        <v>64</v>
      </c>
      <c r="E434" s="224"/>
      <c r="F434" s="10" t="s">
        <v>65</v>
      </c>
      <c r="G434" s="10">
        <f>_xlfn.STDEV.P(B426:C437)</f>
        <v>19.460385330774471</v>
      </c>
    </row>
    <row r="435" spans="1:7" x14ac:dyDescent="0.7">
      <c r="B435" s="4">
        <v>77</v>
      </c>
      <c r="C435" s="4">
        <v>48</v>
      </c>
    </row>
    <row r="436" spans="1:7" x14ac:dyDescent="0.7">
      <c r="B436" s="4">
        <v>41</v>
      </c>
      <c r="C436" s="4">
        <v>33</v>
      </c>
    </row>
    <row r="437" spans="1:7" x14ac:dyDescent="0.7">
      <c r="B437" s="4">
        <v>80</v>
      </c>
      <c r="C437" s="4">
        <v>38</v>
      </c>
    </row>
    <row r="438" spans="1:7" x14ac:dyDescent="0.7">
      <c r="A438" s="1" t="s">
        <v>150</v>
      </c>
      <c r="B438" s="1" t="s">
        <v>278</v>
      </c>
    </row>
    <row r="439" spans="1:7" x14ac:dyDescent="0.7">
      <c r="A439" s="1" t="s">
        <v>226</v>
      </c>
      <c r="B439" s="1" t="s">
        <v>279</v>
      </c>
    </row>
    <row r="440" spans="1:7" x14ac:dyDescent="0.7">
      <c r="A440" s="1" t="s">
        <v>151</v>
      </c>
      <c r="B440" s="1" t="s">
        <v>280</v>
      </c>
    </row>
    <row r="441" spans="1:7" x14ac:dyDescent="0.7">
      <c r="A441" s="1" t="s">
        <v>281</v>
      </c>
      <c r="B441" s="1" t="s">
        <v>282</v>
      </c>
    </row>
    <row r="445" spans="1:7" x14ac:dyDescent="0.7">
      <c r="A445" s="1" t="s">
        <v>286</v>
      </c>
      <c r="B445" s="10"/>
      <c r="C445" s="55" t="s">
        <v>287</v>
      </c>
      <c r="D445" s="55" t="s">
        <v>288</v>
      </c>
      <c r="E445" s="55" t="s">
        <v>289</v>
      </c>
      <c r="F445" s="55" t="s">
        <v>290</v>
      </c>
    </row>
    <row r="446" spans="1:7" ht="52.3" x14ac:dyDescent="0.7">
      <c r="B446" s="16" t="s">
        <v>291</v>
      </c>
      <c r="C446" s="56">
        <v>0.13400000000000001</v>
      </c>
      <c r="D446" s="56">
        <v>0.17799999999999999</v>
      </c>
      <c r="E446" s="56">
        <v>0.152</v>
      </c>
      <c r="F446" s="56">
        <v>0.22900000000000001</v>
      </c>
    </row>
    <row r="447" spans="1:7" x14ac:dyDescent="0.7">
      <c r="B447" s="10" t="s">
        <v>292</v>
      </c>
      <c r="C447" s="56">
        <v>0.40200000000000002</v>
      </c>
      <c r="D447" s="56">
        <v>0.45600000000000002</v>
      </c>
      <c r="E447" s="56">
        <v>0.441</v>
      </c>
      <c r="F447" s="56">
        <v>0.49299999999999999</v>
      </c>
    </row>
    <row r="448" spans="1:7" x14ac:dyDescent="0.7">
      <c r="B448" s="57" t="s">
        <v>29</v>
      </c>
      <c r="C448" s="58">
        <f>C447^2</f>
        <v>0.16160400000000003</v>
      </c>
      <c r="D448" s="58">
        <f t="shared" ref="D448:F448" si="37">D447^2</f>
        <v>0.20793600000000001</v>
      </c>
      <c r="E448" s="58">
        <f t="shared" si="37"/>
        <v>0.19448100000000001</v>
      </c>
      <c r="F448" s="58">
        <f t="shared" si="37"/>
        <v>0.24304899999999999</v>
      </c>
    </row>
    <row r="449" spans="1:6" ht="52.3" x14ac:dyDescent="0.7">
      <c r="B449" s="16" t="s">
        <v>293</v>
      </c>
      <c r="C449" s="16">
        <v>5</v>
      </c>
      <c r="D449" s="16">
        <v>12</v>
      </c>
      <c r="E449" s="16">
        <v>18</v>
      </c>
      <c r="F449" s="16">
        <v>15</v>
      </c>
    </row>
    <row r="451" spans="1:6" x14ac:dyDescent="0.7">
      <c r="B451" s="1" t="s">
        <v>294</v>
      </c>
    </row>
    <row r="453" spans="1:6" x14ac:dyDescent="0.7">
      <c r="B453" s="7" t="s">
        <v>295</v>
      </c>
      <c r="C453" s="56">
        <f>SUMPRODUCT(C449:F449,C446:F446)/SUM(C449:F449)</f>
        <v>0.17954000000000001</v>
      </c>
    </row>
    <row r="454" spans="1:6" ht="52.3" x14ac:dyDescent="0.7">
      <c r="B454" s="7" t="s">
        <v>296</v>
      </c>
      <c r="C454" s="56">
        <f>SUMPRODUCT(C449:F449,C448:F448)/SUM(C449:F449)</f>
        <v>0.20899290000000001</v>
      </c>
    </row>
    <row r="455" spans="1:6" ht="52.3" x14ac:dyDescent="0.7">
      <c r="B455" s="7" t="s">
        <v>297</v>
      </c>
      <c r="C455" s="56">
        <f>SQRT(C454)</f>
        <v>0.45715741271470162</v>
      </c>
    </row>
    <row r="457" spans="1:6" x14ac:dyDescent="0.7">
      <c r="A457" s="1" t="s">
        <v>298</v>
      </c>
      <c r="B457" s="1" t="s">
        <v>299</v>
      </c>
    </row>
    <row r="458" spans="1:6" x14ac:dyDescent="0.7">
      <c r="B458" s="10" t="s">
        <v>18</v>
      </c>
      <c r="C458" s="10" t="s">
        <v>300</v>
      </c>
    </row>
    <row r="459" spans="1:6" x14ac:dyDescent="0.7">
      <c r="B459" s="4">
        <v>1</v>
      </c>
      <c r="C459" s="4">
        <v>2.3690000000000002</v>
      </c>
    </row>
    <row r="460" spans="1:6" x14ac:dyDescent="0.7">
      <c r="B460" s="4">
        <v>2</v>
      </c>
      <c r="C460" s="4">
        <v>2.3580000000000001</v>
      </c>
    </row>
    <row r="461" spans="1:6" x14ac:dyDescent="0.7">
      <c r="B461" s="4">
        <v>3</v>
      </c>
      <c r="C461" s="4">
        <v>2.391</v>
      </c>
    </row>
    <row r="462" spans="1:6" x14ac:dyDescent="0.7">
      <c r="B462" s="4">
        <v>4</v>
      </c>
      <c r="C462" s="4">
        <v>2.367</v>
      </c>
    </row>
    <row r="463" spans="1:6" x14ac:dyDescent="0.7">
      <c r="B463" s="4">
        <v>5</v>
      </c>
      <c r="C463" s="4">
        <v>2.359</v>
      </c>
    </row>
    <row r="464" spans="1:6" x14ac:dyDescent="0.7">
      <c r="B464" s="4">
        <v>6</v>
      </c>
      <c r="C464" s="4">
        <v>2.3620000000000001</v>
      </c>
    </row>
    <row r="465" spans="1:4" x14ac:dyDescent="0.7">
      <c r="B465" s="10"/>
      <c r="C465" s="10"/>
    </row>
    <row r="467" spans="1:4" x14ac:dyDescent="0.7">
      <c r="A467" s="1" t="s">
        <v>301</v>
      </c>
      <c r="B467" s="1" t="s">
        <v>302</v>
      </c>
    </row>
    <row r="470" spans="1:4" ht="52.3" x14ac:dyDescent="0.7">
      <c r="A470" s="225" t="s">
        <v>83</v>
      </c>
      <c r="B470" s="226"/>
      <c r="C470" s="7" t="s">
        <v>303</v>
      </c>
      <c r="D470" s="7" t="s">
        <v>304</v>
      </c>
    </row>
    <row r="471" spans="1:4" x14ac:dyDescent="0.7">
      <c r="A471" s="4" t="s">
        <v>81</v>
      </c>
      <c r="B471" s="4" t="s">
        <v>82</v>
      </c>
      <c r="C471" s="4" t="s">
        <v>85</v>
      </c>
      <c r="D471" s="4" t="s">
        <v>228</v>
      </c>
    </row>
    <row r="472" spans="1:4" x14ac:dyDescent="0.7">
      <c r="A472" s="4">
        <v>100</v>
      </c>
      <c r="B472" s="4">
        <f>A472+5</f>
        <v>105</v>
      </c>
      <c r="C472" s="4">
        <v>25</v>
      </c>
      <c r="D472" s="4"/>
    </row>
    <row r="473" spans="1:4" x14ac:dyDescent="0.7">
      <c r="A473" s="4">
        <f>B472</f>
        <v>105</v>
      </c>
      <c r="B473" s="4">
        <f>A473+5</f>
        <v>110</v>
      </c>
      <c r="C473" s="4">
        <v>138</v>
      </c>
      <c r="D473" s="4"/>
    </row>
    <row r="474" spans="1:4" x14ac:dyDescent="0.7">
      <c r="A474" s="4">
        <f t="shared" ref="A474:A478" si="38">B473</f>
        <v>110</v>
      </c>
      <c r="B474" s="4">
        <f t="shared" ref="B474:B478" si="39">A474+5</f>
        <v>115</v>
      </c>
      <c r="C474" s="4" t="s">
        <v>305</v>
      </c>
      <c r="D474" s="4"/>
    </row>
    <row r="475" spans="1:4" x14ac:dyDescent="0.7">
      <c r="A475" s="4">
        <f t="shared" si="38"/>
        <v>115</v>
      </c>
      <c r="B475" s="4">
        <f t="shared" si="39"/>
        <v>120</v>
      </c>
      <c r="C475" s="4" t="s">
        <v>305</v>
      </c>
      <c r="D475" s="4"/>
    </row>
    <row r="476" spans="1:4" x14ac:dyDescent="0.7">
      <c r="A476" s="4">
        <f t="shared" si="38"/>
        <v>120</v>
      </c>
      <c r="B476" s="4">
        <f t="shared" si="39"/>
        <v>125</v>
      </c>
      <c r="C476" s="4">
        <v>394</v>
      </c>
      <c r="D476" s="4"/>
    </row>
    <row r="477" spans="1:4" x14ac:dyDescent="0.7">
      <c r="A477" s="4">
        <f t="shared" si="38"/>
        <v>125</v>
      </c>
      <c r="B477" s="4">
        <f t="shared" si="39"/>
        <v>130</v>
      </c>
      <c r="C477" s="4">
        <v>411</v>
      </c>
      <c r="D477" s="4"/>
    </row>
    <row r="478" spans="1:4" x14ac:dyDescent="0.7">
      <c r="A478" s="4">
        <f t="shared" si="38"/>
        <v>130</v>
      </c>
      <c r="B478" s="4">
        <f t="shared" si="39"/>
        <v>135</v>
      </c>
      <c r="C478" s="4">
        <v>417</v>
      </c>
      <c r="D478" s="4"/>
    </row>
    <row r="479" spans="1:4" x14ac:dyDescent="0.7">
      <c r="A479" s="4">
        <f>B478</f>
        <v>135</v>
      </c>
      <c r="B479" s="4">
        <f>A479+5</f>
        <v>140</v>
      </c>
      <c r="C479" s="4">
        <v>420</v>
      </c>
      <c r="D479" s="4"/>
    </row>
    <row r="480" spans="1:4" x14ac:dyDescent="0.7">
      <c r="C480" s="4"/>
      <c r="D480" s="4"/>
    </row>
    <row r="482" spans="1:2" x14ac:dyDescent="0.7">
      <c r="A482" s="1" t="s">
        <v>150</v>
      </c>
      <c r="B482" s="1" t="s">
        <v>306</v>
      </c>
    </row>
    <row r="483" spans="1:2" x14ac:dyDescent="0.7">
      <c r="A483" s="1" t="s">
        <v>226</v>
      </c>
      <c r="B483" s="1" t="s">
        <v>307</v>
      </c>
    </row>
    <row r="486" spans="1:2" ht="46.3" x14ac:dyDescent="1.2">
      <c r="A486" s="43" t="s">
        <v>309</v>
      </c>
    </row>
    <row r="487" spans="1:2" x14ac:dyDescent="0.7">
      <c r="A487" s="1" t="s">
        <v>308</v>
      </c>
    </row>
    <row r="488" spans="1:2" x14ac:dyDescent="0.7">
      <c r="A488" s="1" t="s">
        <v>21</v>
      </c>
      <c r="B488" s="1">
        <v>0.32</v>
      </c>
    </row>
    <row r="489" spans="1:2" x14ac:dyDescent="0.7">
      <c r="A489" s="1" t="s">
        <v>65</v>
      </c>
      <c r="B489" s="1">
        <v>0.12</v>
      </c>
    </row>
    <row r="490" spans="1:2" x14ac:dyDescent="0.7">
      <c r="A490" s="1" t="s">
        <v>218</v>
      </c>
      <c r="B490" s="1">
        <v>0.25</v>
      </c>
    </row>
    <row r="491" spans="1:2" x14ac:dyDescent="0.7">
      <c r="A491" s="1" t="s">
        <v>239</v>
      </c>
      <c r="B491" s="1">
        <v>1</v>
      </c>
    </row>
  </sheetData>
  <sortState xmlns:xlrd2="http://schemas.microsoft.com/office/spreadsheetml/2017/richdata2" ref="C198:C205">
    <sortCondition ref="C198:C205"/>
  </sortState>
  <mergeCells count="6">
    <mergeCell ref="E433:E434"/>
    <mergeCell ref="A470:B470"/>
    <mergeCell ref="B121:C121"/>
    <mergeCell ref="B142:C142"/>
    <mergeCell ref="B275:C275"/>
    <mergeCell ref="A399:B399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9E9D-4288-4C4E-9F95-2F79DC6E0D49}">
  <dimension ref="A1:Q305"/>
  <sheetViews>
    <sheetView tabSelected="1" topLeftCell="A57" zoomScale="40" zoomScaleNormal="40" workbookViewId="0">
      <selection activeCell="E223" sqref="E223"/>
    </sheetView>
  </sheetViews>
  <sheetFormatPr defaultColWidth="8.84375" defaultRowHeight="23.15" x14ac:dyDescent="0.6"/>
  <cols>
    <col min="1" max="1" width="10.23046875" style="30" customWidth="1"/>
    <col min="2" max="2" width="28.07421875" style="30" customWidth="1"/>
    <col min="3" max="3" width="21.07421875" style="30" customWidth="1"/>
    <col min="4" max="4" width="23.07421875" style="30" customWidth="1"/>
    <col min="5" max="5" width="26.765625" style="30" customWidth="1"/>
    <col min="6" max="7" width="20.53515625" style="30" customWidth="1"/>
    <col min="8" max="8" width="31.84375" style="30" customWidth="1"/>
    <col min="9" max="9" width="25.4609375" style="30" customWidth="1"/>
    <col min="10" max="10" width="20.3046875" style="30" customWidth="1"/>
    <col min="11" max="11" width="19.69140625" style="30" customWidth="1"/>
    <col min="12" max="16384" width="8.84375" style="30"/>
  </cols>
  <sheetData>
    <row r="1" spans="2:2" x14ac:dyDescent="0.6">
      <c r="B1" s="59">
        <v>44755</v>
      </c>
    </row>
    <row r="2" spans="2:2" ht="33.450000000000003" x14ac:dyDescent="0.85">
      <c r="B2" s="29" t="s">
        <v>310</v>
      </c>
    </row>
    <row r="4" spans="2:2" x14ac:dyDescent="0.6">
      <c r="B4" s="30" t="s">
        <v>311</v>
      </c>
    </row>
    <row r="5" spans="2:2" x14ac:dyDescent="0.6">
      <c r="B5" s="30" t="s">
        <v>312</v>
      </c>
    </row>
    <row r="6" spans="2:2" x14ac:dyDescent="0.6">
      <c r="B6" s="30" t="s">
        <v>313</v>
      </c>
    </row>
    <row r="8" spans="2:2" x14ac:dyDescent="0.6">
      <c r="B8" s="30" t="s">
        <v>314</v>
      </c>
    </row>
    <row r="9" spans="2:2" x14ac:dyDescent="0.6">
      <c r="B9" s="30" t="s">
        <v>315</v>
      </c>
    </row>
    <row r="10" spans="2:2" x14ac:dyDescent="0.6">
      <c r="B10" s="30" t="s">
        <v>316</v>
      </c>
    </row>
    <row r="12" spans="2:2" x14ac:dyDescent="0.6">
      <c r="B12" s="30" t="s">
        <v>317</v>
      </c>
    </row>
    <row r="13" spans="2:2" x14ac:dyDescent="0.6">
      <c r="B13" s="30" t="s">
        <v>318</v>
      </c>
    </row>
    <row r="14" spans="2:2" x14ac:dyDescent="0.6">
      <c r="B14" s="30" t="s">
        <v>319</v>
      </c>
    </row>
    <row r="16" spans="2:2" x14ac:dyDescent="0.6">
      <c r="B16" s="30" t="s">
        <v>320</v>
      </c>
    </row>
    <row r="17" spans="1:2" x14ac:dyDescent="0.6">
      <c r="B17" s="30" t="s">
        <v>321</v>
      </c>
    </row>
    <row r="18" spans="1:2" x14ac:dyDescent="0.6">
      <c r="B18" s="30" t="s">
        <v>322</v>
      </c>
    </row>
    <row r="20" spans="1:2" x14ac:dyDescent="0.6">
      <c r="B20" s="30" t="s">
        <v>323</v>
      </c>
    </row>
    <row r="21" spans="1:2" x14ac:dyDescent="0.6">
      <c r="B21" s="30" t="s">
        <v>324</v>
      </c>
    </row>
    <row r="22" spans="1:2" x14ac:dyDescent="0.6">
      <c r="B22" s="30" t="s">
        <v>325</v>
      </c>
    </row>
    <row r="23" spans="1:2" x14ac:dyDescent="0.6">
      <c r="B23" s="30" t="s">
        <v>326</v>
      </c>
    </row>
    <row r="25" spans="1:2" ht="26.15" x14ac:dyDescent="0.7">
      <c r="B25" s="1" t="s">
        <v>327</v>
      </c>
    </row>
    <row r="26" spans="1:2" ht="26.15" x14ac:dyDescent="0.7">
      <c r="A26" s="1">
        <v>1</v>
      </c>
      <c r="B26" s="1" t="s">
        <v>328</v>
      </c>
    </row>
    <row r="27" spans="1:2" ht="26.15" x14ac:dyDescent="0.7">
      <c r="A27" s="1"/>
      <c r="B27" s="1" t="s">
        <v>329</v>
      </c>
    </row>
    <row r="28" spans="1:2" ht="26.15" x14ac:dyDescent="0.7">
      <c r="A28" s="1">
        <v>2</v>
      </c>
      <c r="B28" s="1" t="s">
        <v>330</v>
      </c>
    </row>
    <row r="29" spans="1:2" ht="26.15" x14ac:dyDescent="0.7">
      <c r="A29" s="1"/>
      <c r="B29" s="1" t="s">
        <v>331</v>
      </c>
    </row>
    <row r="30" spans="1:2" ht="26.15" x14ac:dyDescent="0.7">
      <c r="A30" s="1"/>
      <c r="B30" s="1" t="s">
        <v>332</v>
      </c>
    </row>
    <row r="31" spans="1:2" ht="26.15" x14ac:dyDescent="0.7">
      <c r="A31" s="1">
        <v>3</v>
      </c>
      <c r="B31" s="1" t="s">
        <v>333</v>
      </c>
    </row>
    <row r="33" spans="1:11" x14ac:dyDescent="0.6">
      <c r="B33" s="30" t="s">
        <v>119</v>
      </c>
    </row>
    <row r="34" spans="1:11" ht="33.450000000000003" x14ac:dyDescent="0.85">
      <c r="B34" s="29" t="s">
        <v>334</v>
      </c>
    </row>
    <row r="36" spans="1:11" ht="30.9" x14ac:dyDescent="0.8">
      <c r="A36" s="1"/>
      <c r="B36" s="2" t="s">
        <v>335</v>
      </c>
    </row>
    <row r="37" spans="1:11" ht="26.15" x14ac:dyDescent="0.7">
      <c r="A37" s="1">
        <v>1</v>
      </c>
      <c r="B37" s="1" t="s">
        <v>336</v>
      </c>
    </row>
    <row r="38" spans="1:11" ht="26.15" x14ac:dyDescent="0.7">
      <c r="A38" s="1"/>
      <c r="B38" s="1" t="s">
        <v>337</v>
      </c>
    </row>
    <row r="39" spans="1:11" ht="26.15" x14ac:dyDescent="0.7">
      <c r="A39" s="1">
        <v>2</v>
      </c>
      <c r="B39" s="1" t="s">
        <v>338</v>
      </c>
    </row>
    <row r="40" spans="1:11" ht="26.15" x14ac:dyDescent="0.7">
      <c r="A40" s="1">
        <v>3</v>
      </c>
      <c r="B40" s="1" t="s">
        <v>339</v>
      </c>
    </row>
    <row r="41" spans="1:11" ht="26.15" x14ac:dyDescent="0.7">
      <c r="A41" s="1">
        <v>4</v>
      </c>
      <c r="B41" s="1" t="s">
        <v>340</v>
      </c>
    </row>
    <row r="42" spans="1:11" ht="26.15" x14ac:dyDescent="0.7">
      <c r="A42" s="1">
        <v>5</v>
      </c>
      <c r="B42" s="1" t="s">
        <v>341</v>
      </c>
    </row>
    <row r="43" spans="1:11" ht="26.15" x14ac:dyDescent="0.7">
      <c r="A43" s="1">
        <v>6</v>
      </c>
      <c r="B43" s="1" t="s">
        <v>342</v>
      </c>
    </row>
    <row r="45" spans="1:11" ht="46.3" x14ac:dyDescent="0.6">
      <c r="A45" s="60" t="s">
        <v>343</v>
      </c>
      <c r="B45" s="60" t="s">
        <v>344</v>
      </c>
      <c r="C45" s="60" t="s">
        <v>345</v>
      </c>
    </row>
    <row r="46" spans="1:11" ht="82.75" x14ac:dyDescent="0.6">
      <c r="A46" s="60"/>
      <c r="B46" s="61" t="s">
        <v>346</v>
      </c>
      <c r="C46" s="61" t="s">
        <v>347</v>
      </c>
      <c r="D46" s="229" t="s">
        <v>348</v>
      </c>
      <c r="E46" s="230"/>
      <c r="F46" s="229" t="s">
        <v>349</v>
      </c>
      <c r="G46" s="230"/>
      <c r="H46" s="62" t="s">
        <v>350</v>
      </c>
      <c r="I46" s="63" t="s">
        <v>351</v>
      </c>
      <c r="J46" s="62" t="s">
        <v>352</v>
      </c>
      <c r="K46" s="63" t="s">
        <v>353</v>
      </c>
    </row>
    <row r="47" spans="1:11" x14ac:dyDescent="0.6">
      <c r="A47" s="60"/>
      <c r="B47" s="61" t="s">
        <v>63</v>
      </c>
      <c r="C47" s="61" t="s">
        <v>354</v>
      </c>
      <c r="D47" s="62" t="s">
        <v>355</v>
      </c>
      <c r="E47" s="62" t="s">
        <v>356</v>
      </c>
      <c r="F47" s="62" t="s">
        <v>357</v>
      </c>
      <c r="G47" s="62" t="s">
        <v>358</v>
      </c>
      <c r="H47" s="62" t="s">
        <v>359</v>
      </c>
      <c r="I47" s="62" t="s">
        <v>360</v>
      </c>
      <c r="J47" s="62" t="s">
        <v>361</v>
      </c>
      <c r="K47" s="62" t="s">
        <v>362</v>
      </c>
    </row>
    <row r="48" spans="1:11" x14ac:dyDescent="0.6">
      <c r="A48" s="64">
        <v>1</v>
      </c>
      <c r="B48" s="64">
        <v>92</v>
      </c>
      <c r="C48" s="64">
        <v>150</v>
      </c>
      <c r="D48" s="41">
        <f>B48-$B$57</f>
        <v>-14.25</v>
      </c>
      <c r="E48" s="41">
        <f>C48-$C$57</f>
        <v>-7.5</v>
      </c>
      <c r="F48" s="65">
        <f>D48^2</f>
        <v>203.0625</v>
      </c>
      <c r="G48" s="65">
        <f>E48^2</f>
        <v>56.25</v>
      </c>
      <c r="H48" s="38">
        <f>D48*E48</f>
        <v>106.875</v>
      </c>
      <c r="I48" s="38">
        <f>$C$66*B48+$C$67</f>
        <v>146.62478286045166</v>
      </c>
      <c r="J48" s="38">
        <f>C48-I48</f>
        <v>3.3752171395483401</v>
      </c>
      <c r="K48" s="38">
        <f>J48^2</f>
        <v>11.39209073910088</v>
      </c>
    </row>
    <row r="49" spans="1:17" x14ac:dyDescent="0.6">
      <c r="A49" s="64">
        <v>2</v>
      </c>
      <c r="B49" s="64">
        <v>90</v>
      </c>
      <c r="C49" s="64">
        <v>145</v>
      </c>
      <c r="D49" s="41">
        <f t="shared" ref="D49:D55" si="0">B49-$B$57</f>
        <v>-16.25</v>
      </c>
      <c r="E49" s="41">
        <f t="shared" ref="E49:E55" si="1">C49-$C$57</f>
        <v>-12.5</v>
      </c>
      <c r="F49" s="65">
        <f t="shared" ref="F49:F55" si="2">D49^2</f>
        <v>264.0625</v>
      </c>
      <c r="G49" s="65">
        <f t="shared" ref="G49:G55" si="3">E49^2</f>
        <v>156.25</v>
      </c>
      <c r="H49" s="38">
        <f t="shared" ref="H49:H55" si="4">D49*E49</f>
        <v>203.125</v>
      </c>
      <c r="I49" s="38">
        <f t="shared" ref="I49:I55" si="5">$C$66*B49+$C$67</f>
        <v>145.09843659525188</v>
      </c>
      <c r="J49" s="38">
        <f t="shared" ref="J49:J55" si="6">C49-I49</f>
        <v>-9.8436595251882864E-2</v>
      </c>
      <c r="K49" s="38">
        <f t="shared" ref="K49:K55" si="7">J49^2</f>
        <v>9.6897632847830085E-3</v>
      </c>
    </row>
    <row r="50" spans="1:17" x14ac:dyDescent="0.6">
      <c r="A50" s="64">
        <v>3</v>
      </c>
      <c r="B50" s="64">
        <v>101</v>
      </c>
      <c r="C50" s="64">
        <v>159</v>
      </c>
      <c r="D50" s="41">
        <f t="shared" si="0"/>
        <v>-5.25</v>
      </c>
      <c r="E50" s="41">
        <f t="shared" si="1"/>
        <v>1.5</v>
      </c>
      <c r="F50" s="65">
        <f t="shared" si="2"/>
        <v>27.5625</v>
      </c>
      <c r="G50" s="65">
        <f t="shared" si="3"/>
        <v>2.25</v>
      </c>
      <c r="H50" s="38">
        <f t="shared" si="4"/>
        <v>-7.875</v>
      </c>
      <c r="I50" s="38">
        <f t="shared" si="5"/>
        <v>153.4933410538506</v>
      </c>
      <c r="J50" s="38">
        <f t="shared" si="6"/>
        <v>5.5066589461494004</v>
      </c>
      <c r="K50" s="38">
        <f t="shared" si="7"/>
        <v>30.323292749207226</v>
      </c>
    </row>
    <row r="51" spans="1:17" x14ac:dyDescent="0.6">
      <c r="A51" s="64">
        <v>4</v>
      </c>
      <c r="B51" s="64">
        <v>117</v>
      </c>
      <c r="C51" s="64">
        <v>172</v>
      </c>
      <c r="D51" s="41">
        <f t="shared" si="0"/>
        <v>10.75</v>
      </c>
      <c r="E51" s="41">
        <f t="shared" si="1"/>
        <v>14.5</v>
      </c>
      <c r="F51" s="65">
        <f t="shared" si="2"/>
        <v>115.5625</v>
      </c>
      <c r="G51" s="65">
        <f t="shared" si="3"/>
        <v>210.25</v>
      </c>
      <c r="H51" s="38">
        <f t="shared" si="4"/>
        <v>155.875</v>
      </c>
      <c r="I51" s="38">
        <f t="shared" si="5"/>
        <v>165.70411117544876</v>
      </c>
      <c r="J51" s="38">
        <f t="shared" si="6"/>
        <v>6.2958888245512412</v>
      </c>
      <c r="K51" s="38">
        <f t="shared" si="7"/>
        <v>39.638216091109207</v>
      </c>
    </row>
    <row r="52" spans="1:17" x14ac:dyDescent="0.6">
      <c r="A52" s="64">
        <v>5</v>
      </c>
      <c r="B52" s="64">
        <v>115</v>
      </c>
      <c r="C52" s="64">
        <v>163</v>
      </c>
      <c r="D52" s="41">
        <f t="shared" si="0"/>
        <v>8.75</v>
      </c>
      <c r="E52" s="41">
        <f t="shared" si="1"/>
        <v>5.5</v>
      </c>
      <c r="F52" s="65">
        <f t="shared" si="2"/>
        <v>76.5625</v>
      </c>
      <c r="G52" s="65">
        <f t="shared" si="3"/>
        <v>30.25</v>
      </c>
      <c r="H52" s="38">
        <f t="shared" si="4"/>
        <v>48.125</v>
      </c>
      <c r="I52" s="38">
        <f t="shared" si="5"/>
        <v>164.17776491024898</v>
      </c>
      <c r="J52" s="38">
        <f t="shared" si="6"/>
        <v>-1.1777649102489818</v>
      </c>
      <c r="K52" s="38">
        <f t="shared" si="7"/>
        <v>1.3871301838137922</v>
      </c>
    </row>
    <row r="53" spans="1:17" x14ac:dyDescent="0.6">
      <c r="A53" s="64">
        <v>6</v>
      </c>
      <c r="B53" s="64">
        <v>106</v>
      </c>
      <c r="C53" s="64">
        <v>146</v>
      </c>
      <c r="D53" s="41">
        <f t="shared" si="0"/>
        <v>-0.25</v>
      </c>
      <c r="E53" s="41">
        <f t="shared" si="1"/>
        <v>-11.5</v>
      </c>
      <c r="F53" s="65">
        <f t="shared" si="2"/>
        <v>6.25E-2</v>
      </c>
      <c r="G53" s="65">
        <f t="shared" si="3"/>
        <v>132.25</v>
      </c>
      <c r="H53" s="38">
        <f t="shared" si="4"/>
        <v>2.875</v>
      </c>
      <c r="I53" s="38">
        <f t="shared" si="5"/>
        <v>157.30920671685004</v>
      </c>
      <c r="J53" s="38">
        <f t="shared" si="6"/>
        <v>-11.309206716850042</v>
      </c>
      <c r="K53" s="38">
        <f t="shared" si="7"/>
        <v>127.89815656444611</v>
      </c>
    </row>
    <row r="54" spans="1:17" x14ac:dyDescent="0.6">
      <c r="A54" s="64">
        <v>7</v>
      </c>
      <c r="B54" s="64">
        <v>110</v>
      </c>
      <c r="C54" s="64">
        <v>155</v>
      </c>
      <c r="D54" s="41">
        <f t="shared" si="0"/>
        <v>3.75</v>
      </c>
      <c r="E54" s="41">
        <f t="shared" si="1"/>
        <v>-2.5</v>
      </c>
      <c r="F54" s="65">
        <f t="shared" si="2"/>
        <v>14.0625</v>
      </c>
      <c r="G54" s="65">
        <f t="shared" si="3"/>
        <v>6.25</v>
      </c>
      <c r="H54" s="38">
        <f t="shared" si="4"/>
        <v>-9.375</v>
      </c>
      <c r="I54" s="38">
        <f t="shared" si="5"/>
        <v>160.36189924724954</v>
      </c>
      <c r="J54" s="38">
        <f t="shared" si="6"/>
        <v>-5.3618992472495393</v>
      </c>
      <c r="K54" s="38">
        <f t="shared" si="7"/>
        <v>28.749963537655177</v>
      </c>
    </row>
    <row r="55" spans="1:17" x14ac:dyDescent="0.6">
      <c r="A55" s="64">
        <v>8</v>
      </c>
      <c r="B55" s="64">
        <v>119</v>
      </c>
      <c r="C55" s="64">
        <v>170</v>
      </c>
      <c r="D55" s="41">
        <f t="shared" si="0"/>
        <v>12.75</v>
      </c>
      <c r="E55" s="41">
        <f t="shared" si="1"/>
        <v>12.5</v>
      </c>
      <c r="F55" s="65">
        <f t="shared" si="2"/>
        <v>162.5625</v>
      </c>
      <c r="G55" s="65">
        <f t="shared" si="3"/>
        <v>156.25</v>
      </c>
      <c r="H55" s="38">
        <f t="shared" si="4"/>
        <v>159.375</v>
      </c>
      <c r="I55" s="38">
        <f t="shared" si="5"/>
        <v>167.23045744064854</v>
      </c>
      <c r="J55" s="38">
        <f t="shared" si="6"/>
        <v>2.7695425593514642</v>
      </c>
      <c r="K55" s="38">
        <f t="shared" si="7"/>
        <v>7.6703659880590589</v>
      </c>
    </row>
    <row r="56" spans="1:17" x14ac:dyDescent="0.6">
      <c r="A56" s="66" t="s">
        <v>363</v>
      </c>
      <c r="B56" s="67">
        <f>SUM(B48:B55)</f>
        <v>850</v>
      </c>
      <c r="C56" s="67">
        <f>SUM(C48:C55)</f>
        <v>1260</v>
      </c>
      <c r="D56" s="67">
        <f t="shared" ref="D56:H56" si="8">SUM(D48:D55)</f>
        <v>0</v>
      </c>
      <c r="E56" s="67">
        <f t="shared" si="8"/>
        <v>0</v>
      </c>
      <c r="F56" s="69">
        <f t="shared" si="8"/>
        <v>863.5</v>
      </c>
      <c r="G56" s="69">
        <f t="shared" si="8"/>
        <v>750</v>
      </c>
      <c r="H56" s="82">
        <f t="shared" si="8"/>
        <v>659</v>
      </c>
      <c r="I56" s="67"/>
      <c r="J56" s="68"/>
      <c r="K56" s="68">
        <f t="shared" ref="K56" si="9">SUM(K48:K55)</f>
        <v>247.06890561667623</v>
      </c>
      <c r="L56" s="30" t="s">
        <v>364</v>
      </c>
    </row>
    <row r="57" spans="1:17" x14ac:dyDescent="0.6">
      <c r="A57" s="66" t="s">
        <v>365</v>
      </c>
      <c r="B57" s="69">
        <f>AVERAGE(B48:B55)</f>
        <v>106.25</v>
      </c>
      <c r="C57" s="69">
        <f>AVERAGE(C48:C55)</f>
        <v>157.5</v>
      </c>
      <c r="D57" s="69">
        <f t="shared" ref="D57:H57" si="10">AVERAGE(D48:D55)</f>
        <v>0</v>
      </c>
      <c r="E57" s="69">
        <f t="shared" si="10"/>
        <v>0</v>
      </c>
      <c r="F57" s="70">
        <f t="shared" si="10"/>
        <v>107.9375</v>
      </c>
      <c r="G57" s="70">
        <f t="shared" si="10"/>
        <v>93.75</v>
      </c>
      <c r="H57" s="70">
        <f t="shared" si="10"/>
        <v>82.375</v>
      </c>
      <c r="I57" s="70"/>
      <c r="J57" s="70"/>
      <c r="K57" s="70"/>
    </row>
    <row r="58" spans="1:17" x14ac:dyDescent="0.6">
      <c r="Q58" s="30" t="s">
        <v>366</v>
      </c>
    </row>
    <row r="59" spans="1:17" x14ac:dyDescent="0.6">
      <c r="B59" s="31"/>
      <c r="C59" s="31" t="s">
        <v>63</v>
      </c>
      <c r="D59" s="31" t="s">
        <v>354</v>
      </c>
      <c r="I59" s="31"/>
      <c r="J59" s="31" t="s">
        <v>63</v>
      </c>
      <c r="K59" s="31" t="s">
        <v>354</v>
      </c>
      <c r="Q59" s="30" t="s">
        <v>367</v>
      </c>
    </row>
    <row r="60" spans="1:17" x14ac:dyDescent="0.6">
      <c r="B60" s="31" t="s">
        <v>21</v>
      </c>
      <c r="C60" s="71">
        <f>B57</f>
        <v>106.25</v>
      </c>
      <c r="D60" s="71">
        <f>C57</f>
        <v>157.5</v>
      </c>
      <c r="F60" s="69" t="s">
        <v>512</v>
      </c>
      <c r="G60" s="69">
        <f>G56</f>
        <v>750</v>
      </c>
      <c r="I60" s="31" t="s">
        <v>21</v>
      </c>
      <c r="J60" s="71">
        <f>AVERAGE(B48:B55)</f>
        <v>106.25</v>
      </c>
      <c r="K60" s="71">
        <f>AVERAGE(C48:C55)</f>
        <v>157.5</v>
      </c>
    </row>
    <row r="61" spans="1:17" x14ac:dyDescent="0.6">
      <c r="B61" s="31" t="s">
        <v>29</v>
      </c>
      <c r="C61" s="38">
        <f>F57</f>
        <v>107.9375</v>
      </c>
      <c r="D61" s="38">
        <f>G57</f>
        <v>93.75</v>
      </c>
      <c r="F61" s="69" t="s">
        <v>513</v>
      </c>
      <c r="G61" s="69">
        <f>K56</f>
        <v>247.06890561667623</v>
      </c>
      <c r="I61" s="31" t="s">
        <v>29</v>
      </c>
      <c r="J61" s="38">
        <f>_xlfn.VAR.P(B48:B55)</f>
        <v>107.9375</v>
      </c>
      <c r="K61" s="38">
        <f>_xlfn.VAR.P(C48:C55)</f>
        <v>93.75</v>
      </c>
    </row>
    <row r="62" spans="1:17" x14ac:dyDescent="0.6">
      <c r="B62" s="31" t="s">
        <v>252</v>
      </c>
      <c r="C62" s="38">
        <f>SQRT(C61)</f>
        <v>10.389297377590074</v>
      </c>
      <c r="D62" s="38">
        <f>SQRT(D61)</f>
        <v>9.6824583655185421</v>
      </c>
      <c r="F62" s="69" t="s">
        <v>514</v>
      </c>
      <c r="G62" s="69">
        <f>G60-G61</f>
        <v>502.93109438332374</v>
      </c>
      <c r="I62" s="31" t="s">
        <v>252</v>
      </c>
      <c r="J62" s="38">
        <f>_xlfn.STDEV.P(B48:B55)</f>
        <v>10.389297377590074</v>
      </c>
      <c r="K62" s="38">
        <f>_xlfn.STDEV.P(C48:C55)</f>
        <v>9.6824583655185421</v>
      </c>
    </row>
    <row r="63" spans="1:17" x14ac:dyDescent="0.6">
      <c r="B63" s="31" t="s">
        <v>368</v>
      </c>
      <c r="C63" s="231">
        <f>H57</f>
        <v>82.375</v>
      </c>
      <c r="D63" s="228"/>
      <c r="I63" s="31" t="s">
        <v>368</v>
      </c>
      <c r="J63" s="231">
        <f>_xlfn.COVARIANCE.P(B48:B55,C48:C55)</f>
        <v>82.375</v>
      </c>
      <c r="K63" s="232"/>
    </row>
    <row r="64" spans="1:17" x14ac:dyDescent="0.6">
      <c r="B64" s="31" t="s">
        <v>369</v>
      </c>
      <c r="C64" s="233">
        <f>C63/(C62*D62)</f>
        <v>0.81888631232369391</v>
      </c>
      <c r="D64" s="234"/>
      <c r="I64" s="31" t="s">
        <v>369</v>
      </c>
      <c r="J64" s="233">
        <f>CORREL(B48:B55,C48:C55)</f>
        <v>0.81888631232369391</v>
      </c>
      <c r="K64" s="234"/>
    </row>
    <row r="65" spans="2:11" x14ac:dyDescent="0.6">
      <c r="B65" s="31" t="s">
        <v>370</v>
      </c>
      <c r="C65" s="233">
        <f>C64^2</f>
        <v>0.67057479251109842</v>
      </c>
      <c r="D65" s="234"/>
      <c r="E65" s="70">
        <f>1-(G61/G60)</f>
        <v>0.67057479251109831</v>
      </c>
      <c r="F65" s="72" t="s">
        <v>371</v>
      </c>
      <c r="I65" s="31" t="s">
        <v>370</v>
      </c>
      <c r="J65" s="233">
        <f>RSQ(C48:C55,B48:B55)</f>
        <v>0.67057479251109819</v>
      </c>
      <c r="K65" s="234"/>
    </row>
    <row r="66" spans="2:11" x14ac:dyDescent="0.6">
      <c r="B66" s="31" t="s">
        <v>372</v>
      </c>
      <c r="C66" s="231">
        <f>C63/C61</f>
        <v>0.76317313259988417</v>
      </c>
      <c r="D66" s="232"/>
      <c r="E66" s="30" t="s">
        <v>373</v>
      </c>
      <c r="I66" s="31" t="s">
        <v>372</v>
      </c>
      <c r="J66" s="231">
        <f>SLOPE(C48:C55,B48:B55)</f>
        <v>0.76317313259988417</v>
      </c>
      <c r="K66" s="232"/>
    </row>
    <row r="67" spans="2:11" x14ac:dyDescent="0.6">
      <c r="B67" s="31" t="s">
        <v>374</v>
      </c>
      <c r="C67" s="231">
        <f>D60-C66*C60</f>
        <v>76.412854661262301</v>
      </c>
      <c r="D67" s="232"/>
      <c r="E67" s="30" t="s">
        <v>375</v>
      </c>
      <c r="I67" s="31" t="s">
        <v>374</v>
      </c>
      <c r="J67" s="231">
        <f>INTERCEPT(C48:C55,B48:B55)</f>
        <v>76.412854661262301</v>
      </c>
      <c r="K67" s="232"/>
    </row>
    <row r="68" spans="2:11" ht="80.400000000000006" customHeight="1" x14ac:dyDescent="0.6">
      <c r="B68" s="37" t="s">
        <v>376</v>
      </c>
      <c r="C68" s="235">
        <f>C66*140+C67</f>
        <v>183.25709322524608</v>
      </c>
      <c r="D68" s="236"/>
      <c r="I68" s="37" t="s">
        <v>376</v>
      </c>
      <c r="J68" s="235">
        <f>_xlfn.FORECAST.LINEAR(140,C48:C55,B48:B55)</f>
        <v>183.25709322524608</v>
      </c>
      <c r="K68" s="236"/>
    </row>
    <row r="70" spans="2:11" x14ac:dyDescent="0.6">
      <c r="B70" s="30" t="s">
        <v>377</v>
      </c>
    </row>
    <row r="71" spans="2:11" x14ac:dyDescent="0.6">
      <c r="B71" s="30" t="s">
        <v>378</v>
      </c>
    </row>
    <row r="72" spans="2:11" x14ac:dyDescent="0.6">
      <c r="B72" s="30" t="s">
        <v>379</v>
      </c>
    </row>
    <row r="73" spans="2:11" x14ac:dyDescent="0.6">
      <c r="B73" s="30" t="s">
        <v>380</v>
      </c>
    </row>
    <row r="75" spans="2:11" x14ac:dyDescent="0.6">
      <c r="B75" s="30" t="s">
        <v>381</v>
      </c>
    </row>
    <row r="76" spans="2:11" x14ac:dyDescent="0.6">
      <c r="B76" s="30" t="s">
        <v>382</v>
      </c>
    </row>
    <row r="77" spans="2:11" x14ac:dyDescent="0.6">
      <c r="B77" s="30" t="s">
        <v>383</v>
      </c>
    </row>
    <row r="78" spans="2:11" x14ac:dyDescent="0.6">
      <c r="B78" s="30" t="s">
        <v>384</v>
      </c>
    </row>
    <row r="80" spans="2:11" x14ac:dyDescent="0.6">
      <c r="B80" s="30" t="s">
        <v>385</v>
      </c>
    </row>
    <row r="81" spans="2:2" x14ac:dyDescent="0.6">
      <c r="B81" s="30" t="s">
        <v>386</v>
      </c>
    </row>
    <row r="83" spans="2:2" x14ac:dyDescent="0.6">
      <c r="B83" s="30" t="s">
        <v>387</v>
      </c>
    </row>
    <row r="84" spans="2:2" x14ac:dyDescent="0.6">
      <c r="B84" s="30" t="s">
        <v>388</v>
      </c>
    </row>
    <row r="85" spans="2:2" x14ac:dyDescent="0.6">
      <c r="B85" s="30" t="s">
        <v>389</v>
      </c>
    </row>
    <row r="86" spans="2:2" x14ac:dyDescent="0.6">
      <c r="B86" s="30" t="s">
        <v>390</v>
      </c>
    </row>
    <row r="87" spans="2:2" x14ac:dyDescent="0.6">
      <c r="B87" s="30" t="s">
        <v>391</v>
      </c>
    </row>
    <row r="89" spans="2:2" x14ac:dyDescent="0.6">
      <c r="B89" s="30" t="s">
        <v>392</v>
      </c>
    </row>
    <row r="91" spans="2:2" ht="30.9" x14ac:dyDescent="0.8">
      <c r="B91" s="2" t="s">
        <v>393</v>
      </c>
    </row>
    <row r="92" spans="2:2" ht="30.9" x14ac:dyDescent="0.8">
      <c r="B92" s="2" t="s">
        <v>394</v>
      </c>
    </row>
    <row r="93" spans="2:2" ht="30.9" x14ac:dyDescent="0.8">
      <c r="B93" s="2" t="s">
        <v>395</v>
      </c>
    </row>
    <row r="95" spans="2:2" ht="33.450000000000003" x14ac:dyDescent="0.85">
      <c r="B95" s="29" t="s">
        <v>396</v>
      </c>
    </row>
    <row r="97" spans="1:10" x14ac:dyDescent="0.6">
      <c r="B97" s="30" t="s">
        <v>397</v>
      </c>
    </row>
    <row r="98" spans="1:10" x14ac:dyDescent="0.6">
      <c r="B98" s="31" t="s">
        <v>63</v>
      </c>
      <c r="C98" s="31">
        <v>120</v>
      </c>
      <c r="D98" s="31">
        <v>125</v>
      </c>
      <c r="E98" s="31">
        <v>130</v>
      </c>
      <c r="F98" s="31">
        <v>135</v>
      </c>
      <c r="G98" s="31">
        <v>140</v>
      </c>
      <c r="H98" s="31">
        <v>145</v>
      </c>
    </row>
    <row r="99" spans="1:10" x14ac:dyDescent="0.6">
      <c r="B99" s="31" t="s">
        <v>354</v>
      </c>
      <c r="C99" s="73">
        <f>$C$66*C98+$C$67</f>
        <v>167.9936305732484</v>
      </c>
      <c r="D99" s="73">
        <f t="shared" ref="D99:H99" si="11">$C$66*D98+$C$67</f>
        <v>171.80949623624781</v>
      </c>
      <c r="E99" s="73">
        <f t="shared" si="11"/>
        <v>175.62536189924725</v>
      </c>
      <c r="F99" s="73">
        <f t="shared" si="11"/>
        <v>179.44122756224667</v>
      </c>
      <c r="G99" s="73">
        <f t="shared" si="11"/>
        <v>183.25709322524608</v>
      </c>
      <c r="H99" s="73">
        <f t="shared" si="11"/>
        <v>187.07295888824552</v>
      </c>
    </row>
    <row r="102" spans="1:10" ht="46.3" x14ac:dyDescent="0.6">
      <c r="A102" s="60" t="s">
        <v>343</v>
      </c>
      <c r="B102" s="60" t="s">
        <v>344</v>
      </c>
      <c r="C102" s="60" t="s">
        <v>345</v>
      </c>
      <c r="E102" s="30" t="s">
        <v>515</v>
      </c>
    </row>
    <row r="103" spans="1:10" ht="23.6" thickBot="1" x14ac:dyDescent="0.65">
      <c r="A103" s="60"/>
      <c r="B103" s="61" t="s">
        <v>346</v>
      </c>
      <c r="C103" s="61" t="s">
        <v>347</v>
      </c>
    </row>
    <row r="104" spans="1:10" x14ac:dyDescent="0.6">
      <c r="A104" s="60"/>
      <c r="B104" s="61" t="s">
        <v>63</v>
      </c>
      <c r="C104" s="61" t="s">
        <v>354</v>
      </c>
      <c r="E104" s="88" t="s">
        <v>516</v>
      </c>
      <c r="F104" s="88"/>
    </row>
    <row r="105" spans="1:10" x14ac:dyDescent="0.6">
      <c r="A105" s="64">
        <v>1</v>
      </c>
      <c r="B105" s="64">
        <v>92</v>
      </c>
      <c r="C105" s="64">
        <v>150</v>
      </c>
      <c r="E105" s="91" t="s">
        <v>517</v>
      </c>
      <c r="F105" s="91">
        <v>0.8188863123236938</v>
      </c>
    </row>
    <row r="106" spans="1:10" x14ac:dyDescent="0.6">
      <c r="A106" s="64">
        <v>2</v>
      </c>
      <c r="B106" s="64">
        <v>90</v>
      </c>
      <c r="C106" s="64">
        <v>145</v>
      </c>
      <c r="E106" s="91" t="s">
        <v>518</v>
      </c>
      <c r="F106" s="91">
        <v>0.67057479251109819</v>
      </c>
    </row>
    <row r="107" spans="1:10" x14ac:dyDescent="0.6">
      <c r="A107" s="64">
        <v>3</v>
      </c>
      <c r="B107" s="64">
        <v>101</v>
      </c>
      <c r="C107" s="64">
        <v>159</v>
      </c>
      <c r="E107" s="30" t="s">
        <v>519</v>
      </c>
      <c r="F107" s="30">
        <v>0.61567059126294799</v>
      </c>
    </row>
    <row r="108" spans="1:10" x14ac:dyDescent="0.6">
      <c r="A108" s="64">
        <v>4</v>
      </c>
      <c r="B108" s="64">
        <v>117</v>
      </c>
      <c r="C108" s="64">
        <v>172</v>
      </c>
      <c r="E108" s="30" t="s">
        <v>261</v>
      </c>
      <c r="F108" s="30">
        <v>6.4170204095134942</v>
      </c>
    </row>
    <row r="109" spans="1:10" ht="23.6" thickBot="1" x14ac:dyDescent="0.65">
      <c r="A109" s="64">
        <v>5</v>
      </c>
      <c r="B109" s="64">
        <v>115</v>
      </c>
      <c r="C109" s="64">
        <v>163</v>
      </c>
      <c r="E109" s="92" t="s">
        <v>520</v>
      </c>
      <c r="F109" s="92">
        <v>8</v>
      </c>
    </row>
    <row r="110" spans="1:10" x14ac:dyDescent="0.6">
      <c r="A110" s="64">
        <v>6</v>
      </c>
      <c r="B110" s="64">
        <v>106</v>
      </c>
      <c r="C110" s="64">
        <v>146</v>
      </c>
    </row>
    <row r="111" spans="1:10" ht="23.6" thickBot="1" x14ac:dyDescent="0.65">
      <c r="A111" s="64">
        <v>7</v>
      </c>
      <c r="B111" s="64">
        <v>110</v>
      </c>
      <c r="C111" s="64">
        <v>155</v>
      </c>
      <c r="E111" s="30" t="s">
        <v>521</v>
      </c>
    </row>
    <row r="112" spans="1:10" x14ac:dyDescent="0.6">
      <c r="A112" s="64">
        <v>8</v>
      </c>
      <c r="B112" s="64">
        <v>119</v>
      </c>
      <c r="C112" s="64">
        <v>170</v>
      </c>
      <c r="E112" s="90"/>
      <c r="F112" s="90" t="s">
        <v>524</v>
      </c>
      <c r="G112" s="93" t="s">
        <v>525</v>
      </c>
      <c r="H112" s="90" t="s">
        <v>526</v>
      </c>
      <c r="I112" s="90" t="s">
        <v>85</v>
      </c>
      <c r="J112" s="90" t="s">
        <v>527</v>
      </c>
    </row>
    <row r="113" spans="2:13" x14ac:dyDescent="0.6">
      <c r="E113" s="30" t="s">
        <v>501</v>
      </c>
      <c r="F113" s="30">
        <v>1</v>
      </c>
      <c r="G113" s="91">
        <v>502.93109438332363</v>
      </c>
      <c r="H113" s="30">
        <v>502.93109438332363</v>
      </c>
      <c r="I113" s="30">
        <v>12.213542447877602</v>
      </c>
      <c r="J113" s="30">
        <v>1.2907915473054579E-2</v>
      </c>
    </row>
    <row r="114" spans="2:13" x14ac:dyDescent="0.6">
      <c r="E114" s="30" t="s">
        <v>502</v>
      </c>
      <c r="F114" s="30">
        <v>6</v>
      </c>
      <c r="G114" s="91">
        <v>247.06890561667637</v>
      </c>
      <c r="H114" s="30">
        <v>41.178150936112729</v>
      </c>
    </row>
    <row r="115" spans="2:13" ht="23.6" thickBot="1" x14ac:dyDescent="0.65">
      <c r="E115" s="89" t="s">
        <v>522</v>
      </c>
      <c r="F115" s="89">
        <v>7</v>
      </c>
      <c r="G115" s="92">
        <v>750</v>
      </c>
      <c r="H115" s="89"/>
      <c r="I115" s="89"/>
      <c r="J115" s="89"/>
    </row>
    <row r="116" spans="2:13" ht="23.6" thickBot="1" x14ac:dyDescent="0.65"/>
    <row r="117" spans="2:13" x14ac:dyDescent="0.6">
      <c r="E117" s="93"/>
      <c r="F117" s="93" t="s">
        <v>528</v>
      </c>
      <c r="G117" s="90" t="s">
        <v>261</v>
      </c>
      <c r="H117" s="90" t="s">
        <v>529</v>
      </c>
      <c r="I117" s="90" t="s">
        <v>530</v>
      </c>
      <c r="J117" s="90" t="s">
        <v>531</v>
      </c>
      <c r="K117" s="90" t="s">
        <v>532</v>
      </c>
      <c r="L117" s="90" t="s">
        <v>533</v>
      </c>
      <c r="M117" s="90" t="s">
        <v>534</v>
      </c>
    </row>
    <row r="118" spans="2:13" x14ac:dyDescent="0.6">
      <c r="E118" s="91" t="s">
        <v>523</v>
      </c>
      <c r="F118" s="91">
        <v>76.41285466126233</v>
      </c>
      <c r="G118" s="30">
        <v>23.312965649270637</v>
      </c>
      <c r="H118" s="30">
        <v>3.2776977331347359</v>
      </c>
      <c r="I118" s="30">
        <v>1.6871050652953089E-2</v>
      </c>
      <c r="J118" s="30">
        <v>19.368082728726428</v>
      </c>
      <c r="K118" s="30">
        <v>133.45762659379824</v>
      </c>
      <c r="L118" s="30">
        <v>19.368082728726428</v>
      </c>
      <c r="M118" s="30">
        <v>133.45762659379824</v>
      </c>
    </row>
    <row r="119" spans="2:13" ht="23.6" thickBot="1" x14ac:dyDescent="0.65">
      <c r="E119" s="92" t="s">
        <v>535</v>
      </c>
      <c r="F119" s="92">
        <v>0.76317313259988395</v>
      </c>
      <c r="G119" s="89">
        <v>0.21837466392900581</v>
      </c>
      <c r="H119" s="89">
        <v>3.4947878974091684</v>
      </c>
      <c r="I119" s="89">
        <v>1.2907915473054589E-2</v>
      </c>
      <c r="J119" s="89">
        <v>0.22882957944219973</v>
      </c>
      <c r="K119" s="89">
        <v>1.2975166857575682</v>
      </c>
      <c r="L119" s="89">
        <v>0.22882957944219973</v>
      </c>
      <c r="M119" s="89">
        <v>1.2975166857575682</v>
      </c>
    </row>
    <row r="123" spans="2:13" x14ac:dyDescent="0.6">
      <c r="B123" s="30" t="s">
        <v>47</v>
      </c>
    </row>
    <row r="124" spans="2:13" ht="35.6" x14ac:dyDescent="0.9">
      <c r="B124" s="74" t="s">
        <v>398</v>
      </c>
    </row>
    <row r="126" spans="2:13" ht="46.3" x14ac:dyDescent="0.6">
      <c r="B126" s="60" t="s">
        <v>343</v>
      </c>
      <c r="C126" s="60" t="s">
        <v>399</v>
      </c>
    </row>
    <row r="127" spans="2:13" x14ac:dyDescent="0.6">
      <c r="B127" s="60"/>
      <c r="C127" s="75" t="s">
        <v>400</v>
      </c>
    </row>
    <row r="128" spans="2:13" x14ac:dyDescent="0.6">
      <c r="B128" s="60" t="s">
        <v>63</v>
      </c>
      <c r="C128" s="61" t="s">
        <v>354</v>
      </c>
    </row>
    <row r="129" spans="2:7" x14ac:dyDescent="0.6">
      <c r="B129" s="64">
        <v>1</v>
      </c>
      <c r="C129" s="41">
        <v>0.24</v>
      </c>
    </row>
    <row r="130" spans="2:7" x14ac:dyDescent="0.6">
      <c r="B130" s="64">
        <v>2</v>
      </c>
      <c r="C130" s="41">
        <v>1.369</v>
      </c>
    </row>
    <row r="131" spans="2:7" x14ac:dyDescent="0.6">
      <c r="B131" s="64">
        <v>3</v>
      </c>
      <c r="C131" s="41">
        <v>2.6739999999999999</v>
      </c>
    </row>
    <row r="132" spans="2:7" x14ac:dyDescent="0.6">
      <c r="B132" s="64">
        <v>4</v>
      </c>
      <c r="C132" s="41">
        <v>8.5289999999999999</v>
      </c>
    </row>
    <row r="133" spans="2:7" x14ac:dyDescent="0.6">
      <c r="B133" s="64">
        <v>5</v>
      </c>
      <c r="C133" s="41">
        <v>19.687000000000001</v>
      </c>
    </row>
    <row r="134" spans="2:7" x14ac:dyDescent="0.6">
      <c r="B134" s="64">
        <v>6</v>
      </c>
      <c r="C134" s="41">
        <v>32.601999999999997</v>
      </c>
    </row>
    <row r="135" spans="2:7" x14ac:dyDescent="0.6">
      <c r="B135" s="64">
        <v>7</v>
      </c>
      <c r="C135" s="41">
        <v>39.670999999999999</v>
      </c>
    </row>
    <row r="136" spans="2:7" x14ac:dyDescent="0.6">
      <c r="B136" s="64">
        <v>8</v>
      </c>
      <c r="C136" s="41">
        <v>44.228000000000002</v>
      </c>
    </row>
    <row r="138" spans="2:7" ht="62.15" x14ac:dyDescent="0.6">
      <c r="B138" s="63" t="s">
        <v>401</v>
      </c>
      <c r="C138" s="63" t="s">
        <v>370</v>
      </c>
      <c r="D138" s="63" t="s">
        <v>402</v>
      </c>
      <c r="E138" s="63" t="s">
        <v>403</v>
      </c>
      <c r="F138" s="63" t="s">
        <v>404</v>
      </c>
      <c r="G138" s="63" t="s">
        <v>405</v>
      </c>
    </row>
    <row r="139" spans="2:7" x14ac:dyDescent="0.6">
      <c r="B139" s="63" t="s">
        <v>406</v>
      </c>
      <c r="C139" s="76">
        <v>0.74309999999999998</v>
      </c>
      <c r="D139" s="38">
        <v>0.26950000000000002</v>
      </c>
      <c r="E139" s="38">
        <v>0.73440000000000005</v>
      </c>
      <c r="F139" s="77"/>
      <c r="G139" s="71">
        <f>D139*EXP(E139*9)</f>
        <v>200.019149880512</v>
      </c>
    </row>
    <row r="140" spans="2:7" x14ac:dyDescent="0.6">
      <c r="B140" s="63" t="s">
        <v>407</v>
      </c>
      <c r="C140" s="78">
        <v>0.75760000000000005</v>
      </c>
      <c r="D140" s="41">
        <v>-11.023999999999999</v>
      </c>
      <c r="E140" s="38">
        <v>22.367000000000001</v>
      </c>
      <c r="F140" s="77"/>
      <c r="G140" s="71">
        <f>E140*LN(9)+D140</f>
        <v>38.121322121279221</v>
      </c>
    </row>
    <row r="141" spans="2:7" x14ac:dyDescent="0.6">
      <c r="B141" s="94" t="s">
        <v>408</v>
      </c>
      <c r="C141" s="95">
        <v>0.96699999999999997</v>
      </c>
      <c r="D141" s="70">
        <v>0.62739999999999996</v>
      </c>
      <c r="E141" s="70">
        <v>1.5004</v>
      </c>
      <c r="F141" s="70">
        <v>-4.1261000000000001</v>
      </c>
      <c r="G141" s="68">
        <f>D141*9^2+E141*9+F141</f>
        <v>60.196899999999992</v>
      </c>
    </row>
    <row r="144" spans="2:7" ht="33.450000000000003" x14ac:dyDescent="0.85">
      <c r="B144" s="29" t="s">
        <v>409</v>
      </c>
    </row>
    <row r="145" spans="1:7" ht="26.15" x14ac:dyDescent="0.7">
      <c r="B145" s="1" t="s">
        <v>331</v>
      </c>
    </row>
    <row r="147" spans="1:7" x14ac:dyDescent="0.6">
      <c r="B147" s="30" t="s">
        <v>410</v>
      </c>
    </row>
    <row r="149" spans="1:7" ht="62.15" x14ac:dyDescent="0.6">
      <c r="B149" s="79" t="s">
        <v>411</v>
      </c>
      <c r="C149" s="37" t="s">
        <v>412</v>
      </c>
      <c r="D149" s="63" t="s">
        <v>413</v>
      </c>
      <c r="E149" s="31" t="s">
        <v>414</v>
      </c>
      <c r="F149" s="79"/>
      <c r="G149" s="79"/>
    </row>
    <row r="150" spans="1:7" x14ac:dyDescent="0.6">
      <c r="B150" s="31" t="s">
        <v>415</v>
      </c>
      <c r="C150" s="31" t="s">
        <v>416</v>
      </c>
      <c r="D150" s="63" t="s">
        <v>417</v>
      </c>
      <c r="E150" s="31" t="s">
        <v>418</v>
      </c>
      <c r="F150" s="79"/>
      <c r="G150" s="79"/>
    </row>
    <row r="151" spans="1:7" x14ac:dyDescent="0.6">
      <c r="A151" s="79"/>
      <c r="B151" s="79" t="s">
        <v>354</v>
      </c>
      <c r="C151" s="79" t="s">
        <v>419</v>
      </c>
      <c r="D151" s="79" t="s">
        <v>420</v>
      </c>
      <c r="E151" s="79" t="s">
        <v>421</v>
      </c>
      <c r="F151" s="79"/>
      <c r="G151" s="79"/>
    </row>
    <row r="152" spans="1:7" x14ac:dyDescent="0.6">
      <c r="A152" s="30">
        <v>1</v>
      </c>
      <c r="B152" s="80">
        <v>82</v>
      </c>
      <c r="C152" s="81">
        <v>12.5</v>
      </c>
      <c r="D152" s="80">
        <v>25</v>
      </c>
      <c r="E152" s="80">
        <v>8</v>
      </c>
      <c r="F152" s="79"/>
      <c r="G152" s="79"/>
    </row>
    <row r="153" spans="1:7" x14ac:dyDescent="0.6">
      <c r="A153" s="30">
        <v>2</v>
      </c>
      <c r="B153" s="80">
        <v>71</v>
      </c>
      <c r="C153" s="81">
        <v>9.6</v>
      </c>
      <c r="D153" s="80">
        <v>20</v>
      </c>
      <c r="E153" s="80">
        <v>7</v>
      </c>
      <c r="F153" s="79"/>
      <c r="G153" s="79"/>
    </row>
    <row r="154" spans="1:7" x14ac:dyDescent="0.6">
      <c r="A154" s="30">
        <v>3</v>
      </c>
      <c r="B154" s="80">
        <v>45</v>
      </c>
      <c r="C154" s="81">
        <v>8.4</v>
      </c>
      <c r="D154" s="80">
        <v>12</v>
      </c>
      <c r="E154" s="80">
        <v>6</v>
      </c>
      <c r="F154" s="79"/>
      <c r="G154" s="79"/>
    </row>
    <row r="155" spans="1:7" x14ac:dyDescent="0.6">
      <c r="A155" s="30">
        <v>4</v>
      </c>
      <c r="B155" s="80">
        <v>18</v>
      </c>
      <c r="C155" s="81">
        <v>2.1</v>
      </c>
      <c r="D155" s="80">
        <v>3</v>
      </c>
      <c r="E155" s="80">
        <v>4</v>
      </c>
      <c r="F155" s="79"/>
      <c r="G155" s="79"/>
    </row>
    <row r="156" spans="1:7" x14ac:dyDescent="0.6">
      <c r="A156" s="30">
        <v>5</v>
      </c>
      <c r="B156" s="80">
        <v>75</v>
      </c>
      <c r="C156" s="81">
        <v>18.7</v>
      </c>
      <c r="D156" s="80">
        <v>19</v>
      </c>
      <c r="E156" s="80">
        <v>9</v>
      </c>
      <c r="F156" s="79"/>
      <c r="G156" s="79"/>
    </row>
    <row r="157" spans="1:7" x14ac:dyDescent="0.6">
      <c r="A157" s="30">
        <v>6</v>
      </c>
      <c r="B157" s="80">
        <v>42</v>
      </c>
      <c r="C157" s="81">
        <v>5.3</v>
      </c>
      <c r="D157" s="80">
        <v>11</v>
      </c>
      <c r="E157" s="80">
        <v>5</v>
      </c>
      <c r="F157" s="79"/>
      <c r="G157" s="79"/>
    </row>
    <row r="158" spans="1:7" x14ac:dyDescent="0.6">
      <c r="A158" s="30">
        <v>7</v>
      </c>
      <c r="B158" s="80">
        <v>63</v>
      </c>
      <c r="C158" s="81">
        <v>15.4</v>
      </c>
      <c r="D158" s="80">
        <v>16</v>
      </c>
      <c r="E158" s="80">
        <v>6</v>
      </c>
      <c r="F158" s="79"/>
      <c r="G158" s="79"/>
    </row>
    <row r="159" spans="1:7" x14ac:dyDescent="0.6">
      <c r="A159" s="30">
        <v>8</v>
      </c>
      <c r="B159" s="80">
        <v>60</v>
      </c>
      <c r="C159" s="81">
        <v>11</v>
      </c>
      <c r="D159" s="80">
        <v>20</v>
      </c>
      <c r="E159" s="80">
        <v>9</v>
      </c>
      <c r="F159" s="79"/>
      <c r="G159" s="79"/>
    </row>
    <row r="160" spans="1:7" x14ac:dyDescent="0.6">
      <c r="A160" s="30">
        <v>9</v>
      </c>
      <c r="B160" s="80">
        <v>53</v>
      </c>
      <c r="C160" s="81">
        <v>8.6</v>
      </c>
      <c r="D160" s="80">
        <v>13</v>
      </c>
      <c r="E160" s="80">
        <v>6</v>
      </c>
      <c r="F160" s="79"/>
      <c r="G160" s="79"/>
    </row>
    <row r="161" spans="1:7" x14ac:dyDescent="0.6">
      <c r="A161" s="30">
        <v>10</v>
      </c>
      <c r="B161" s="80">
        <v>21</v>
      </c>
      <c r="C161" s="81">
        <v>3.9</v>
      </c>
      <c r="D161" s="80">
        <v>4</v>
      </c>
      <c r="E161" s="80">
        <v>4</v>
      </c>
      <c r="F161" s="79"/>
      <c r="G161" s="79"/>
    </row>
    <row r="162" spans="1:7" x14ac:dyDescent="0.6">
      <c r="A162" s="30">
        <v>11</v>
      </c>
      <c r="B162" s="80">
        <v>77</v>
      </c>
      <c r="C162" s="81">
        <v>19.600000000000001</v>
      </c>
      <c r="D162" s="80">
        <v>30</v>
      </c>
      <c r="E162" s="80">
        <v>9</v>
      </c>
      <c r="F162" s="79"/>
      <c r="G162" s="79"/>
    </row>
    <row r="163" spans="1:7" x14ac:dyDescent="0.6">
      <c r="A163" s="30">
        <v>12</v>
      </c>
      <c r="B163" s="80">
        <v>84</v>
      </c>
      <c r="C163" s="81">
        <v>25.7</v>
      </c>
      <c r="D163" s="80">
        <v>32</v>
      </c>
      <c r="E163" s="80">
        <v>9</v>
      </c>
    </row>
    <row r="166" spans="1:7" x14ac:dyDescent="0.6">
      <c r="B166" s="30" t="s">
        <v>422</v>
      </c>
    </row>
    <row r="167" spans="1:7" x14ac:dyDescent="0.6">
      <c r="A167" s="30">
        <v>1</v>
      </c>
      <c r="B167" s="30" t="s">
        <v>423</v>
      </c>
    </row>
    <row r="168" spans="1:7" x14ac:dyDescent="0.6">
      <c r="B168" s="30" t="s">
        <v>424</v>
      </c>
    </row>
    <row r="169" spans="1:7" x14ac:dyDescent="0.6">
      <c r="A169" s="30">
        <v>2</v>
      </c>
      <c r="B169" s="30" t="s">
        <v>425</v>
      </c>
    </row>
    <row r="170" spans="1:7" x14ac:dyDescent="0.6">
      <c r="B170" s="30" t="s">
        <v>426</v>
      </c>
    </row>
    <row r="171" spans="1:7" x14ac:dyDescent="0.6">
      <c r="B171" s="30" t="s">
        <v>427</v>
      </c>
    </row>
    <row r="173" spans="1:7" x14ac:dyDescent="0.6">
      <c r="B173" s="30" t="s">
        <v>515</v>
      </c>
    </row>
    <row r="174" spans="1:7" ht="23.6" thickBot="1" x14ac:dyDescent="0.65"/>
    <row r="175" spans="1:7" x14ac:dyDescent="0.6">
      <c r="B175" s="88" t="s">
        <v>516</v>
      </c>
      <c r="C175" s="88"/>
    </row>
    <row r="176" spans="1:7" x14ac:dyDescent="0.6">
      <c r="B176" s="30" t="s">
        <v>517</v>
      </c>
      <c r="C176" s="30">
        <v>0.94706514195518265</v>
      </c>
    </row>
    <row r="177" spans="2:10" x14ac:dyDescent="0.6">
      <c r="B177" s="30" t="s">
        <v>518</v>
      </c>
      <c r="C177" s="30">
        <v>0.89693238310659029</v>
      </c>
    </row>
    <row r="178" spans="2:10" x14ac:dyDescent="0.6">
      <c r="B178" s="30" t="s">
        <v>519</v>
      </c>
      <c r="C178" s="30">
        <v>0.85828202677156162</v>
      </c>
    </row>
    <row r="179" spans="2:10" x14ac:dyDescent="0.6">
      <c r="B179" s="30" t="s">
        <v>261</v>
      </c>
      <c r="C179" s="30">
        <v>8.4307135925204086</v>
      </c>
    </row>
    <row r="180" spans="2:10" ht="23.6" thickBot="1" x14ac:dyDescent="0.65">
      <c r="B180" s="89" t="s">
        <v>520</v>
      </c>
      <c r="C180" s="89">
        <v>12</v>
      </c>
    </row>
    <row r="182" spans="2:10" ht="23.6" thickBot="1" x14ac:dyDescent="0.65">
      <c r="B182" s="30" t="s">
        <v>521</v>
      </c>
    </row>
    <row r="183" spans="2:10" x14ac:dyDescent="0.6">
      <c r="B183" s="90"/>
      <c r="C183" s="90" t="s">
        <v>524</v>
      </c>
      <c r="D183" s="90" t="s">
        <v>525</v>
      </c>
      <c r="E183" s="90" t="s">
        <v>526</v>
      </c>
      <c r="F183" s="90" t="s">
        <v>85</v>
      </c>
      <c r="G183" s="90" t="s">
        <v>527</v>
      </c>
    </row>
    <row r="184" spans="2:10" x14ac:dyDescent="0.6">
      <c r="B184" s="30" t="s">
        <v>501</v>
      </c>
      <c r="C184" s="30">
        <v>3</v>
      </c>
      <c r="D184" s="91">
        <v>4948.3012132337999</v>
      </c>
      <c r="E184" s="30">
        <v>1649.4337377446</v>
      </c>
      <c r="F184" s="30">
        <v>23.206316012504768</v>
      </c>
      <c r="G184" s="91">
        <v>2.6600225933518559E-4</v>
      </c>
      <c r="H184" s="30" t="s">
        <v>538</v>
      </c>
    </row>
    <row r="185" spans="2:10" x14ac:dyDescent="0.6">
      <c r="B185" s="30" t="s">
        <v>502</v>
      </c>
      <c r="C185" s="30">
        <v>8</v>
      </c>
      <c r="D185" s="91">
        <v>568.61545343286696</v>
      </c>
      <c r="E185" s="30">
        <v>71.07693167910837</v>
      </c>
    </row>
    <row r="186" spans="2:10" ht="23.6" thickBot="1" x14ac:dyDescent="0.65">
      <c r="B186" s="89" t="s">
        <v>522</v>
      </c>
      <c r="C186" s="89">
        <v>11</v>
      </c>
      <c r="D186" s="92">
        <v>5516.916666666667</v>
      </c>
      <c r="E186" s="89"/>
      <c r="F186" s="89"/>
      <c r="G186" s="89"/>
    </row>
    <row r="187" spans="2:10" ht="23.6" thickBot="1" x14ac:dyDescent="0.65"/>
    <row r="188" spans="2:10" x14ac:dyDescent="0.6">
      <c r="B188" s="90"/>
      <c r="C188" s="90" t="s">
        <v>528</v>
      </c>
      <c r="D188" s="90" t="s">
        <v>261</v>
      </c>
      <c r="E188" s="90" t="s">
        <v>529</v>
      </c>
      <c r="F188" s="90" t="s">
        <v>530</v>
      </c>
      <c r="G188" s="90" t="s">
        <v>531</v>
      </c>
      <c r="H188" s="90" t="s">
        <v>532</v>
      </c>
      <c r="I188" s="90" t="s">
        <v>533</v>
      </c>
      <c r="J188" s="90" t="s">
        <v>534</v>
      </c>
    </row>
    <row r="189" spans="2:10" x14ac:dyDescent="0.6">
      <c r="B189" s="30" t="s">
        <v>523</v>
      </c>
      <c r="C189" s="30">
        <v>9.8369423365471924</v>
      </c>
      <c r="D189" s="30">
        <v>12.192797350880934</v>
      </c>
      <c r="E189" s="30">
        <v>0.80678305834685837</v>
      </c>
      <c r="F189" s="30">
        <v>0.44311341767307899</v>
      </c>
      <c r="G189" s="30">
        <v>-18.279698774290654</v>
      </c>
      <c r="H189" s="30">
        <v>37.953583447385043</v>
      </c>
      <c r="I189" s="30">
        <v>-18.279698774290654</v>
      </c>
      <c r="J189" s="30">
        <v>37.953583447385043</v>
      </c>
    </row>
    <row r="190" spans="2:10" x14ac:dyDescent="0.6">
      <c r="B190" s="30" t="s">
        <v>535</v>
      </c>
      <c r="C190" s="30">
        <v>0.22097400855610336</v>
      </c>
      <c r="D190" s="30">
        <v>0.78408903233242411</v>
      </c>
      <c r="E190" s="30">
        <v>0.28182259851126029</v>
      </c>
      <c r="F190" s="30">
        <v>0.78523246308381656</v>
      </c>
      <c r="G190" s="30">
        <v>-1.5871385423707005</v>
      </c>
      <c r="H190" s="30">
        <v>2.0290865594829071</v>
      </c>
      <c r="I190" s="30">
        <v>-1.5871385423707005</v>
      </c>
      <c r="J190" s="30">
        <v>2.0290865594829071</v>
      </c>
    </row>
    <row r="191" spans="2:10" x14ac:dyDescent="0.6">
      <c r="B191" s="30" t="s">
        <v>536</v>
      </c>
      <c r="C191" s="30">
        <v>1.7017160752410168</v>
      </c>
      <c r="D191" s="30">
        <v>0.77638299188589655</v>
      </c>
      <c r="E191" s="30">
        <v>2.1918513066694207</v>
      </c>
      <c r="F191" s="30">
        <v>5.9748277231386739E-2</v>
      </c>
      <c r="G191" s="30">
        <v>-8.8626314550044105E-2</v>
      </c>
      <c r="H191" s="30">
        <v>3.4920584650320778</v>
      </c>
      <c r="I191" s="30">
        <v>-8.8626314550044105E-2</v>
      </c>
      <c r="J191" s="30">
        <v>3.4920584650320778</v>
      </c>
    </row>
    <row r="192" spans="2:10" ht="23.6" thickBot="1" x14ac:dyDescent="0.65">
      <c r="B192" s="89" t="s">
        <v>537</v>
      </c>
      <c r="C192" s="89">
        <v>2.3535580016137314</v>
      </c>
      <c r="D192" s="89">
        <v>3.0923507153153191</v>
      </c>
      <c r="E192" s="89">
        <v>0.76109025731052793</v>
      </c>
      <c r="F192" s="89">
        <v>0.46844131249269816</v>
      </c>
      <c r="G192" s="89">
        <v>-4.777415535404959</v>
      </c>
      <c r="H192" s="89">
        <v>9.4845315386324209</v>
      </c>
      <c r="I192" s="89">
        <v>-4.777415535404959</v>
      </c>
      <c r="J192" s="89">
        <v>9.4845315386324209</v>
      </c>
    </row>
    <row r="194" spans="1:4" ht="33.450000000000003" x14ac:dyDescent="0.85">
      <c r="B194" s="29" t="s">
        <v>539</v>
      </c>
      <c r="C194" s="29"/>
      <c r="D194" s="29"/>
    </row>
    <row r="196" spans="1:4" x14ac:dyDescent="0.6">
      <c r="B196" s="30" t="s">
        <v>428</v>
      </c>
    </row>
    <row r="197" spans="1:4" x14ac:dyDescent="0.6">
      <c r="B197" s="31" t="s">
        <v>419</v>
      </c>
      <c r="C197" s="31">
        <v>10</v>
      </c>
    </row>
    <row r="198" spans="1:4" x14ac:dyDescent="0.6">
      <c r="B198" s="31" t="s">
        <v>420</v>
      </c>
      <c r="C198" s="31">
        <v>15</v>
      </c>
    </row>
    <row r="199" spans="1:4" x14ac:dyDescent="0.6">
      <c r="B199" s="31" t="s">
        <v>421</v>
      </c>
      <c r="C199" s="31">
        <v>6</v>
      </c>
    </row>
    <row r="200" spans="1:4" x14ac:dyDescent="0.6">
      <c r="B200" s="32" t="s">
        <v>354</v>
      </c>
      <c r="C200" s="69">
        <f>C189+SUMPRODUCT(C190:C192,C197:C199)</f>
        <v>51.693771560405864</v>
      </c>
    </row>
    <row r="202" spans="1:4" x14ac:dyDescent="0.6">
      <c r="B202" s="30" t="s">
        <v>429</v>
      </c>
    </row>
    <row r="203" spans="1:4" x14ac:dyDescent="0.6">
      <c r="A203" s="30" t="s">
        <v>430</v>
      </c>
      <c r="B203" s="30" t="s">
        <v>431</v>
      </c>
    </row>
    <row r="204" spans="1:4" x14ac:dyDescent="0.6">
      <c r="A204" s="30" t="s">
        <v>432</v>
      </c>
      <c r="B204" s="30" t="s">
        <v>433</v>
      </c>
    </row>
    <row r="205" spans="1:4" x14ac:dyDescent="0.6">
      <c r="B205" s="30" t="s">
        <v>434</v>
      </c>
    </row>
    <row r="206" spans="1:4" x14ac:dyDescent="0.6">
      <c r="A206" s="30" t="s">
        <v>435</v>
      </c>
      <c r="B206" s="30" t="s">
        <v>436</v>
      </c>
    </row>
    <row r="208" spans="1:4" x14ac:dyDescent="0.6">
      <c r="B208" s="30" t="s">
        <v>437</v>
      </c>
    </row>
    <row r="209" spans="1:7" x14ac:dyDescent="0.6">
      <c r="A209" s="30" t="s">
        <v>430</v>
      </c>
      <c r="B209" s="30" t="s">
        <v>438</v>
      </c>
    </row>
    <row r="210" spans="1:7" x14ac:dyDescent="0.6">
      <c r="A210" s="30" t="s">
        <v>432</v>
      </c>
      <c r="B210" s="30" t="s">
        <v>439</v>
      </c>
    </row>
    <row r="211" spans="1:7" x14ac:dyDescent="0.6">
      <c r="B211" s="30" t="s">
        <v>440</v>
      </c>
    </row>
    <row r="213" spans="1:7" ht="30.9" x14ac:dyDescent="0.8">
      <c r="B213" s="2" t="s">
        <v>441</v>
      </c>
    </row>
    <row r="214" spans="1:7" x14ac:dyDescent="0.6">
      <c r="A214" s="30" t="s">
        <v>16</v>
      </c>
      <c r="B214" s="30" t="s">
        <v>442</v>
      </c>
    </row>
    <row r="215" spans="1:7" x14ac:dyDescent="0.6">
      <c r="C215" s="31" t="s">
        <v>443</v>
      </c>
      <c r="D215" s="31"/>
      <c r="E215" s="31" t="s">
        <v>444</v>
      </c>
      <c r="F215" s="31"/>
    </row>
    <row r="216" spans="1:7" x14ac:dyDescent="0.6">
      <c r="B216" s="31"/>
      <c r="C216" s="31" t="s">
        <v>445</v>
      </c>
      <c r="D216" s="31" t="s">
        <v>446</v>
      </c>
      <c r="E216" s="31" t="s">
        <v>445</v>
      </c>
      <c r="F216" s="31" t="s">
        <v>446</v>
      </c>
      <c r="G216" s="31" t="s">
        <v>447</v>
      </c>
    </row>
    <row r="217" spans="1:7" x14ac:dyDescent="0.6">
      <c r="B217" s="31" t="s">
        <v>448</v>
      </c>
      <c r="C217" s="31">
        <v>82</v>
      </c>
      <c r="D217" s="31">
        <v>75</v>
      </c>
      <c r="E217" s="31">
        <v>1</v>
      </c>
      <c r="F217" s="31">
        <v>2</v>
      </c>
      <c r="G217" s="31">
        <f>(E217-F217)^2</f>
        <v>1</v>
      </c>
    </row>
    <row r="218" spans="1:7" x14ac:dyDescent="0.6">
      <c r="B218" s="31" t="s">
        <v>449</v>
      </c>
      <c r="C218" s="31">
        <v>57</v>
      </c>
      <c r="D218" s="31">
        <v>71</v>
      </c>
      <c r="E218" s="31">
        <v>6</v>
      </c>
      <c r="F218" s="31">
        <v>4</v>
      </c>
      <c r="G218" s="31">
        <f t="shared" ref="G218:G223" si="12">(E218-F218)^2</f>
        <v>4</v>
      </c>
    </row>
    <row r="219" spans="1:7" x14ac:dyDescent="0.6">
      <c r="B219" s="31" t="s">
        <v>450</v>
      </c>
      <c r="C219" s="31">
        <v>44</v>
      </c>
      <c r="D219" s="31">
        <v>49</v>
      </c>
      <c r="E219" s="31">
        <v>7</v>
      </c>
      <c r="F219" s="31">
        <v>7</v>
      </c>
      <c r="G219" s="31">
        <f t="shared" si="12"/>
        <v>0</v>
      </c>
    </row>
    <row r="220" spans="1:7" x14ac:dyDescent="0.6">
      <c r="B220" s="31" t="s">
        <v>6</v>
      </c>
      <c r="C220" s="31">
        <v>59</v>
      </c>
      <c r="D220" s="31">
        <v>66</v>
      </c>
      <c r="E220" s="31">
        <v>5</v>
      </c>
      <c r="F220" s="31">
        <v>6</v>
      </c>
      <c r="G220" s="31">
        <f t="shared" si="12"/>
        <v>1</v>
      </c>
    </row>
    <row r="221" spans="1:7" x14ac:dyDescent="0.6">
      <c r="B221" s="31" t="s">
        <v>451</v>
      </c>
      <c r="C221" s="31">
        <v>74</v>
      </c>
      <c r="D221" s="31">
        <v>68</v>
      </c>
      <c r="E221" s="31">
        <v>2</v>
      </c>
      <c r="F221" s="31">
        <v>5</v>
      </c>
      <c r="G221" s="31">
        <f t="shared" si="12"/>
        <v>9</v>
      </c>
    </row>
    <row r="222" spans="1:7" x14ac:dyDescent="0.6">
      <c r="B222" s="31" t="s">
        <v>85</v>
      </c>
      <c r="C222" s="31">
        <v>71</v>
      </c>
      <c r="D222" s="31">
        <v>77</v>
      </c>
      <c r="E222" s="31">
        <v>3</v>
      </c>
      <c r="F222" s="31">
        <v>1</v>
      </c>
      <c r="G222" s="31">
        <f t="shared" si="12"/>
        <v>4</v>
      </c>
    </row>
    <row r="223" spans="1:7" x14ac:dyDescent="0.6">
      <c r="B223" s="31" t="s">
        <v>452</v>
      </c>
      <c r="C223" s="31">
        <v>70</v>
      </c>
      <c r="D223" s="31">
        <v>73</v>
      </c>
      <c r="E223" s="31">
        <v>4</v>
      </c>
      <c r="F223" s="31">
        <v>3</v>
      </c>
      <c r="G223" s="31">
        <f t="shared" si="12"/>
        <v>1</v>
      </c>
    </row>
    <row r="224" spans="1:7" x14ac:dyDescent="0.6">
      <c r="G224" s="32">
        <f>SUM(G217:G223)</f>
        <v>20</v>
      </c>
    </row>
    <row r="225" spans="1:6" x14ac:dyDescent="0.6">
      <c r="B225" s="31"/>
      <c r="C225" s="31" t="s">
        <v>445</v>
      </c>
      <c r="E225" s="31"/>
      <c r="F225" s="31" t="s">
        <v>446</v>
      </c>
    </row>
    <row r="226" spans="1:6" x14ac:dyDescent="0.6">
      <c r="A226" s="30">
        <v>1</v>
      </c>
      <c r="B226" s="31" t="s">
        <v>448</v>
      </c>
      <c r="C226" s="31">
        <v>82</v>
      </c>
      <c r="D226" s="30">
        <v>1</v>
      </c>
      <c r="E226" s="31" t="s">
        <v>85</v>
      </c>
      <c r="F226" s="31">
        <v>77</v>
      </c>
    </row>
    <row r="227" spans="1:6" x14ac:dyDescent="0.6">
      <c r="A227" s="30">
        <v>2</v>
      </c>
      <c r="B227" s="31" t="s">
        <v>451</v>
      </c>
      <c r="C227" s="31">
        <v>74</v>
      </c>
      <c r="D227" s="30">
        <v>2</v>
      </c>
      <c r="E227" s="31" t="s">
        <v>448</v>
      </c>
      <c r="F227" s="31">
        <v>75</v>
      </c>
    </row>
    <row r="228" spans="1:6" x14ac:dyDescent="0.6">
      <c r="A228" s="30">
        <v>3</v>
      </c>
      <c r="B228" s="31" t="s">
        <v>85</v>
      </c>
      <c r="C228" s="31">
        <v>71</v>
      </c>
      <c r="D228" s="30">
        <v>3</v>
      </c>
      <c r="E228" s="31" t="s">
        <v>452</v>
      </c>
      <c r="F228" s="31">
        <v>73</v>
      </c>
    </row>
    <row r="229" spans="1:6" x14ac:dyDescent="0.6">
      <c r="A229" s="30">
        <v>4</v>
      </c>
      <c r="B229" s="31" t="s">
        <v>452</v>
      </c>
      <c r="C229" s="31">
        <v>70</v>
      </c>
      <c r="D229" s="30">
        <v>4</v>
      </c>
      <c r="E229" s="31" t="s">
        <v>449</v>
      </c>
      <c r="F229" s="31">
        <v>71</v>
      </c>
    </row>
    <row r="230" spans="1:6" x14ac:dyDescent="0.6">
      <c r="A230" s="30">
        <v>5</v>
      </c>
      <c r="B230" s="31" t="s">
        <v>6</v>
      </c>
      <c r="C230" s="31">
        <v>59</v>
      </c>
      <c r="D230" s="30">
        <v>5</v>
      </c>
      <c r="E230" s="31" t="s">
        <v>451</v>
      </c>
      <c r="F230" s="31">
        <v>68</v>
      </c>
    </row>
    <row r="231" spans="1:6" x14ac:dyDescent="0.6">
      <c r="A231" s="30">
        <v>6</v>
      </c>
      <c r="B231" s="31" t="s">
        <v>449</v>
      </c>
      <c r="C231" s="31">
        <v>57</v>
      </c>
      <c r="D231" s="30">
        <v>6</v>
      </c>
      <c r="E231" s="31" t="s">
        <v>6</v>
      </c>
      <c r="F231" s="31">
        <v>66</v>
      </c>
    </row>
    <row r="232" spans="1:6" x14ac:dyDescent="0.6">
      <c r="A232" s="30">
        <v>7</v>
      </c>
      <c r="B232" s="31" t="s">
        <v>450</v>
      </c>
      <c r="C232" s="31">
        <v>44</v>
      </c>
      <c r="D232" s="30">
        <v>7</v>
      </c>
      <c r="E232" s="31" t="s">
        <v>450</v>
      </c>
      <c r="F232" s="31">
        <v>49</v>
      </c>
    </row>
    <row r="235" spans="1:6" x14ac:dyDescent="0.6">
      <c r="B235" s="30" t="s">
        <v>453</v>
      </c>
      <c r="F235" s="32">
        <f>1-((6*G224)/(7*(7^2-1)))</f>
        <v>0.64285714285714279</v>
      </c>
    </row>
    <row r="236" spans="1:6" x14ac:dyDescent="0.6">
      <c r="B236" s="30" t="s">
        <v>454</v>
      </c>
    </row>
    <row r="238" spans="1:6" x14ac:dyDescent="0.6">
      <c r="B238" s="30" t="s">
        <v>455</v>
      </c>
    </row>
    <row r="242" spans="1:5" x14ac:dyDescent="0.6">
      <c r="A242" s="30" t="s">
        <v>173</v>
      </c>
      <c r="B242" s="30" t="s">
        <v>456</v>
      </c>
      <c r="D242" s="32" t="s">
        <v>457</v>
      </c>
      <c r="E242" s="32"/>
    </row>
    <row r="243" spans="1:5" x14ac:dyDescent="0.6">
      <c r="B243" s="30" t="s">
        <v>458</v>
      </c>
      <c r="D243" s="32" t="s">
        <v>459</v>
      </c>
      <c r="E243" s="32"/>
    </row>
    <row r="244" spans="1:5" x14ac:dyDescent="0.6">
      <c r="B244" s="30" t="s">
        <v>460</v>
      </c>
    </row>
    <row r="245" spans="1:5" x14ac:dyDescent="0.6">
      <c r="B245" s="30" t="s">
        <v>461</v>
      </c>
    </row>
    <row r="247" spans="1:5" x14ac:dyDescent="0.6">
      <c r="A247" s="30" t="s">
        <v>176</v>
      </c>
      <c r="B247" s="30" t="s">
        <v>462</v>
      </c>
    </row>
    <row r="248" spans="1:5" ht="46.3" x14ac:dyDescent="0.6">
      <c r="B248" s="37" t="s">
        <v>463</v>
      </c>
      <c r="C248" s="31" t="s">
        <v>464</v>
      </c>
      <c r="D248" s="83"/>
    </row>
    <row r="249" spans="1:5" ht="46.3" x14ac:dyDescent="0.6">
      <c r="B249" s="37" t="s">
        <v>465</v>
      </c>
      <c r="C249" s="31" t="s">
        <v>466</v>
      </c>
      <c r="D249" s="83"/>
    </row>
    <row r="250" spans="1:5" ht="46.3" x14ac:dyDescent="0.6">
      <c r="B250" s="37" t="s">
        <v>467</v>
      </c>
      <c r="C250" s="31" t="s">
        <v>468</v>
      </c>
      <c r="D250" s="32"/>
      <c r="E250" s="30" t="s">
        <v>469</v>
      </c>
    </row>
    <row r="252" spans="1:5" x14ac:dyDescent="0.6">
      <c r="B252" s="30" t="s">
        <v>470</v>
      </c>
    </row>
    <row r="253" spans="1:5" x14ac:dyDescent="0.6">
      <c r="B253" s="30" t="s">
        <v>471</v>
      </c>
    </row>
    <row r="254" spans="1:5" x14ac:dyDescent="0.6">
      <c r="B254" s="30" t="s">
        <v>472</v>
      </c>
    </row>
    <row r="256" spans="1:5" ht="35.6" x14ac:dyDescent="0.9">
      <c r="B256" s="74" t="s">
        <v>473</v>
      </c>
    </row>
    <row r="258" spans="1:5" x14ac:dyDescent="0.6">
      <c r="B258" s="30" t="s">
        <v>474</v>
      </c>
      <c r="D258" s="31" t="s">
        <v>372</v>
      </c>
      <c r="E258" s="32"/>
    </row>
    <row r="259" spans="1:5" ht="66.900000000000006" x14ac:dyDescent="0.6">
      <c r="B259" s="84" t="s">
        <v>475</v>
      </c>
      <c r="C259" s="84" t="s">
        <v>476</v>
      </c>
      <c r="D259" s="31" t="s">
        <v>374</v>
      </c>
      <c r="E259" s="32"/>
    </row>
    <row r="260" spans="1:5" ht="44.6" x14ac:dyDescent="0.6">
      <c r="A260" s="31" t="s">
        <v>18</v>
      </c>
      <c r="B260" s="84" t="s">
        <v>63</v>
      </c>
      <c r="C260" s="84" t="s">
        <v>354</v>
      </c>
      <c r="D260" s="84" t="s">
        <v>477</v>
      </c>
      <c r="E260" s="84" t="s">
        <v>478</v>
      </c>
    </row>
    <row r="261" spans="1:5" x14ac:dyDescent="0.6">
      <c r="A261" s="31">
        <v>1</v>
      </c>
      <c r="B261" s="31">
        <v>3.2</v>
      </c>
      <c r="C261" s="31">
        <v>19.7</v>
      </c>
      <c r="D261" s="31">
        <f>$E$212*B261+$E$213</f>
        <v>0</v>
      </c>
      <c r="E261" s="31">
        <f>(C261-D261)^2</f>
        <v>388.09</v>
      </c>
    </row>
    <row r="262" spans="1:5" x14ac:dyDescent="0.6">
      <c r="A262" s="31">
        <v>2</v>
      </c>
      <c r="B262" s="31">
        <v>3.25</v>
      </c>
      <c r="C262" s="31">
        <v>18.2</v>
      </c>
      <c r="D262" s="31">
        <f t="shared" ref="D262:D267" si="13">$E$212*B262+$E$213</f>
        <v>0</v>
      </c>
      <c r="E262" s="31">
        <f t="shared" ref="E262:E267" si="14">(C262-D262)^2</f>
        <v>331.23999999999995</v>
      </c>
    </row>
    <row r="263" spans="1:5" x14ac:dyDescent="0.6">
      <c r="A263" s="31">
        <v>3</v>
      </c>
      <c r="B263" s="31">
        <v>5.5</v>
      </c>
      <c r="C263" s="31">
        <v>12.5</v>
      </c>
      <c r="D263" s="31">
        <f t="shared" si="13"/>
        <v>0</v>
      </c>
      <c r="E263" s="31">
        <f t="shared" si="14"/>
        <v>156.25</v>
      </c>
    </row>
    <row r="264" spans="1:5" x14ac:dyDescent="0.6">
      <c r="A264" s="31">
        <v>4</v>
      </c>
      <c r="B264" s="31">
        <v>4.2</v>
      </c>
      <c r="C264" s="31">
        <v>15.6</v>
      </c>
      <c r="D264" s="31">
        <f t="shared" si="13"/>
        <v>0</v>
      </c>
      <c r="E264" s="31">
        <f t="shared" si="14"/>
        <v>243.35999999999999</v>
      </c>
    </row>
    <row r="265" spans="1:5" x14ac:dyDescent="0.6">
      <c r="A265" s="31">
        <v>5</v>
      </c>
      <c r="B265" s="31">
        <v>6.2</v>
      </c>
      <c r="C265" s="31">
        <v>9.6999999999999993</v>
      </c>
      <c r="D265" s="31">
        <f t="shared" si="13"/>
        <v>0</v>
      </c>
      <c r="E265" s="31">
        <f t="shared" si="14"/>
        <v>94.089999999999989</v>
      </c>
    </row>
    <row r="266" spans="1:5" x14ac:dyDescent="0.6">
      <c r="A266" s="31">
        <v>6</v>
      </c>
      <c r="B266" s="31">
        <v>4.5999999999999996</v>
      </c>
      <c r="C266" s="31">
        <v>16.899999999999999</v>
      </c>
      <c r="D266" s="31">
        <f t="shared" si="13"/>
        <v>0</v>
      </c>
      <c r="E266" s="31">
        <f t="shared" si="14"/>
        <v>285.60999999999996</v>
      </c>
    </row>
    <row r="267" spans="1:5" x14ac:dyDescent="0.6">
      <c r="A267" s="31">
        <v>7</v>
      </c>
      <c r="B267" s="31">
        <v>5.9</v>
      </c>
      <c r="C267" s="31">
        <v>10.8</v>
      </c>
      <c r="D267" s="31">
        <f t="shared" si="13"/>
        <v>0</v>
      </c>
      <c r="E267" s="31">
        <f t="shared" si="14"/>
        <v>116.64000000000001</v>
      </c>
    </row>
    <row r="268" spans="1:5" x14ac:dyDescent="0.6">
      <c r="A268" s="66" t="s">
        <v>363</v>
      </c>
      <c r="B268" s="67">
        <f>SUM(B260:B267)</f>
        <v>32.849999999999994</v>
      </c>
      <c r="C268" s="67">
        <f t="shared" ref="C268:E268" si="15">SUM(C260:C267)</f>
        <v>103.39999999999999</v>
      </c>
      <c r="D268" s="67"/>
      <c r="E268" s="70">
        <f t="shared" si="15"/>
        <v>1615.2799999999997</v>
      </c>
    </row>
    <row r="271" spans="1:5" x14ac:dyDescent="0.6">
      <c r="A271" s="30" t="s">
        <v>178</v>
      </c>
      <c r="B271" s="30" t="s">
        <v>479</v>
      </c>
    </row>
    <row r="272" spans="1:5" x14ac:dyDescent="0.6">
      <c r="B272" s="30" t="s">
        <v>480</v>
      </c>
      <c r="D272" s="70"/>
    </row>
    <row r="273" spans="1:4" x14ac:dyDescent="0.6">
      <c r="B273" s="30" t="s">
        <v>481</v>
      </c>
    </row>
    <row r="274" spans="1:4" x14ac:dyDescent="0.6">
      <c r="B274" s="30" t="s">
        <v>482</v>
      </c>
    </row>
    <row r="276" spans="1:4" x14ac:dyDescent="0.6">
      <c r="B276" s="30" t="s">
        <v>483</v>
      </c>
    </row>
    <row r="277" spans="1:4" x14ac:dyDescent="0.6">
      <c r="B277" s="30" t="s">
        <v>484</v>
      </c>
    </row>
    <row r="278" spans="1:4" x14ac:dyDescent="0.6">
      <c r="B278" s="30" t="s">
        <v>485</v>
      </c>
      <c r="C278" s="70"/>
      <c r="D278" s="30" t="s">
        <v>486</v>
      </c>
    </row>
    <row r="280" spans="1:4" x14ac:dyDescent="0.6">
      <c r="A280" s="30" t="s">
        <v>487</v>
      </c>
      <c r="B280" s="30" t="s">
        <v>488</v>
      </c>
    </row>
    <row r="281" spans="1:4" x14ac:dyDescent="0.6">
      <c r="B281" s="30" t="s">
        <v>489</v>
      </c>
    </row>
    <row r="282" spans="1:4" x14ac:dyDescent="0.6">
      <c r="B282" s="30" t="s">
        <v>490</v>
      </c>
    </row>
    <row r="295" spans="1:8" x14ac:dyDescent="0.6">
      <c r="C295" s="39"/>
      <c r="D295" s="39"/>
    </row>
    <row r="298" spans="1:8" x14ac:dyDescent="0.6">
      <c r="B298" s="32" t="s">
        <v>491</v>
      </c>
      <c r="C298" s="85"/>
      <c r="D298" s="30" t="s">
        <v>492</v>
      </c>
    </row>
    <row r="299" spans="1:8" x14ac:dyDescent="0.6">
      <c r="B299" s="30" t="s">
        <v>493</v>
      </c>
    </row>
    <row r="301" spans="1:8" ht="28.3" x14ac:dyDescent="0.75">
      <c r="A301" s="30" t="s">
        <v>494</v>
      </c>
      <c r="B301" s="86" t="s">
        <v>495</v>
      </c>
    </row>
    <row r="302" spans="1:8" ht="46.3" x14ac:dyDescent="0.6">
      <c r="B302" s="36" t="s">
        <v>496</v>
      </c>
      <c r="C302" s="37" t="s">
        <v>497</v>
      </c>
      <c r="D302" s="37" t="s">
        <v>498</v>
      </c>
      <c r="E302" s="31" t="s">
        <v>499</v>
      </c>
      <c r="F302" s="31" t="s">
        <v>85</v>
      </c>
      <c r="G302" s="31" t="s">
        <v>500</v>
      </c>
      <c r="H302" s="37" t="s">
        <v>491</v>
      </c>
    </row>
    <row r="303" spans="1:8" x14ac:dyDescent="0.6">
      <c r="B303" s="36" t="s">
        <v>501</v>
      </c>
      <c r="C303" s="87"/>
      <c r="D303" s="31"/>
      <c r="E303" s="31"/>
      <c r="F303" s="31"/>
      <c r="G303" s="31"/>
      <c r="H303" s="31"/>
    </row>
    <row r="304" spans="1:8" x14ac:dyDescent="0.6">
      <c r="B304" s="36" t="s">
        <v>502</v>
      </c>
      <c r="C304" s="87"/>
      <c r="D304" s="31"/>
      <c r="E304" s="31"/>
    </row>
    <row r="305" spans="2:4" x14ac:dyDescent="0.6">
      <c r="B305" s="36" t="s">
        <v>503</v>
      </c>
      <c r="C305" s="87"/>
      <c r="D305" s="31"/>
    </row>
  </sheetData>
  <mergeCells count="14">
    <mergeCell ref="C68:D68"/>
    <mergeCell ref="J68:K68"/>
    <mergeCell ref="C65:D65"/>
    <mergeCell ref="J65:K65"/>
    <mergeCell ref="C66:D66"/>
    <mergeCell ref="J66:K66"/>
    <mergeCell ref="C67:D67"/>
    <mergeCell ref="J67:K67"/>
    <mergeCell ref="D46:E46"/>
    <mergeCell ref="F46:G46"/>
    <mergeCell ref="C63:D63"/>
    <mergeCell ref="J63:K63"/>
    <mergeCell ref="C64:D64"/>
    <mergeCell ref="J64:K64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33E8-3EEE-4D7B-B133-FE8ADDE7B4FD}">
  <dimension ref="A1:K25"/>
  <sheetViews>
    <sheetView zoomScale="62" zoomScaleNormal="62" workbookViewId="0">
      <selection activeCell="N11" sqref="N11"/>
    </sheetView>
  </sheetViews>
  <sheetFormatPr defaultColWidth="8.84375" defaultRowHeight="23.15" x14ac:dyDescent="0.6"/>
  <cols>
    <col min="1" max="1" width="13.53515625" style="30" customWidth="1"/>
    <col min="2" max="3" width="26.53515625" style="30" customWidth="1"/>
    <col min="4" max="4" width="33.07421875" style="30" customWidth="1"/>
    <col min="5" max="9" width="17.23046875" style="30" customWidth="1"/>
    <col min="10" max="16384" width="8.84375" style="30"/>
  </cols>
  <sheetData>
    <row r="1" spans="1:11" x14ac:dyDescent="0.6">
      <c r="G1" s="30" t="s">
        <v>574</v>
      </c>
    </row>
    <row r="2" spans="1:11" x14ac:dyDescent="0.6">
      <c r="G2" s="100" t="s">
        <v>573</v>
      </c>
    </row>
    <row r="3" spans="1:11" x14ac:dyDescent="0.6">
      <c r="G3" s="98">
        <f>1/5</f>
        <v>0.2</v>
      </c>
    </row>
    <row r="4" spans="1:11" ht="54" x14ac:dyDescent="0.6">
      <c r="A4" s="97" t="s">
        <v>540</v>
      </c>
      <c r="B4" s="97" t="s">
        <v>563</v>
      </c>
      <c r="C4" s="97" t="s">
        <v>562</v>
      </c>
      <c r="D4" s="97" t="s">
        <v>564</v>
      </c>
      <c r="E4" s="99" t="s">
        <v>565</v>
      </c>
      <c r="F4" s="98" t="s">
        <v>571</v>
      </c>
      <c r="G4" s="98" t="s">
        <v>572</v>
      </c>
      <c r="H4" s="97"/>
    </row>
    <row r="5" spans="1:11" x14ac:dyDescent="0.6">
      <c r="A5" s="97" t="s">
        <v>561</v>
      </c>
      <c r="B5" s="97">
        <v>16216</v>
      </c>
      <c r="C5" s="97"/>
      <c r="D5" s="97"/>
      <c r="E5" s="97"/>
      <c r="F5" s="97"/>
      <c r="G5" s="101">
        <f>B5</f>
        <v>16216</v>
      </c>
      <c r="H5" s="97"/>
    </row>
    <row r="6" spans="1:11" x14ac:dyDescent="0.6">
      <c r="A6" s="97" t="s">
        <v>560</v>
      </c>
      <c r="B6" s="97">
        <v>16058.3</v>
      </c>
      <c r="C6" s="97"/>
      <c r="D6" s="97"/>
      <c r="E6" s="97"/>
      <c r="F6" s="97"/>
      <c r="G6" s="101">
        <f>$G$3*B5+(1-$G$3)*G5</f>
        <v>16216.000000000002</v>
      </c>
      <c r="H6" s="97"/>
    </row>
    <row r="7" spans="1:11" x14ac:dyDescent="0.6">
      <c r="A7" s="97" t="s">
        <v>559</v>
      </c>
      <c r="B7" s="97">
        <v>15966.65</v>
      </c>
      <c r="C7" s="97">
        <f>AVERAGE(B5:B9)</f>
        <v>16045.76</v>
      </c>
      <c r="D7" s="97">
        <f>AVERAGE(B5:B8)</f>
        <v>16044.9</v>
      </c>
      <c r="E7" s="97">
        <f>AVERAGE(D7:D8)</f>
        <v>16024.05</v>
      </c>
      <c r="F7" s="97">
        <f t="shared" ref="F7:F23" si="0">SUMPRODUCT($K$7:$K$11,B5:B9)</f>
        <v>16013.421</v>
      </c>
      <c r="G7" s="101">
        <f t="shared" ref="G7:G25" si="1">$G$3*B6+(1-$G$3)*G6</f>
        <v>16184.460000000003</v>
      </c>
      <c r="H7" s="97"/>
      <c r="J7" s="31" t="s">
        <v>566</v>
      </c>
      <c r="K7" s="31">
        <v>0.03</v>
      </c>
    </row>
    <row r="8" spans="1:11" x14ac:dyDescent="0.6">
      <c r="A8" s="97" t="s">
        <v>558</v>
      </c>
      <c r="B8" s="97">
        <v>15938.65</v>
      </c>
      <c r="C8" s="97">
        <f t="shared" ref="C8:C23" si="2">AVERAGE(B6:B10)</f>
        <v>16058.26</v>
      </c>
      <c r="D8" s="97">
        <f t="shared" ref="D8:D24" si="3">AVERAGE(B6:B9)</f>
        <v>16003.2</v>
      </c>
      <c r="E8" s="97">
        <f t="shared" ref="E8:E23" si="4">AVERAGE(D8:D9)</f>
        <v>16030.725</v>
      </c>
      <c r="F8" s="97">
        <f t="shared" si="0"/>
        <v>16147.289500000001</v>
      </c>
      <c r="G8" s="101">
        <f t="shared" si="1"/>
        <v>16140.898000000003</v>
      </c>
      <c r="H8" s="97"/>
      <c r="J8" s="31" t="s">
        <v>567</v>
      </c>
      <c r="K8" s="31">
        <v>7.0000000000000007E-2</v>
      </c>
    </row>
    <row r="9" spans="1:11" x14ac:dyDescent="0.6">
      <c r="A9" s="97" t="s">
        <v>557</v>
      </c>
      <c r="B9" s="97">
        <v>16049.2</v>
      </c>
      <c r="C9" s="97">
        <f t="shared" si="2"/>
        <v>16114.710000000001</v>
      </c>
      <c r="D9" s="97">
        <f t="shared" si="3"/>
        <v>16058.25</v>
      </c>
      <c r="E9" s="97">
        <f t="shared" si="4"/>
        <v>16104.987499999999</v>
      </c>
      <c r="F9" s="97">
        <f t="shared" si="0"/>
        <v>16253.45</v>
      </c>
      <c r="G9" s="101">
        <f t="shared" si="1"/>
        <v>16100.448400000003</v>
      </c>
      <c r="H9" s="97"/>
      <c r="J9" s="31" t="s">
        <v>568</v>
      </c>
      <c r="K9" s="31">
        <v>0.1</v>
      </c>
    </row>
    <row r="10" spans="1:11" x14ac:dyDescent="0.6">
      <c r="A10" s="97" t="s">
        <v>556</v>
      </c>
      <c r="B10" s="97">
        <v>16278.5</v>
      </c>
      <c r="C10" s="97">
        <f t="shared" si="2"/>
        <v>16225.55</v>
      </c>
      <c r="D10" s="97">
        <f t="shared" si="3"/>
        <v>16151.724999999999</v>
      </c>
      <c r="E10" s="97">
        <f t="shared" si="4"/>
        <v>16224.5</v>
      </c>
      <c r="F10" s="97">
        <f t="shared" si="0"/>
        <v>16392.0435</v>
      </c>
      <c r="G10" s="101">
        <f t="shared" si="1"/>
        <v>16090.198720000004</v>
      </c>
      <c r="H10" s="97"/>
      <c r="J10" s="31" t="s">
        <v>569</v>
      </c>
      <c r="K10" s="31">
        <v>0.3</v>
      </c>
    </row>
    <row r="11" spans="1:11" x14ac:dyDescent="0.6">
      <c r="A11" s="97" t="s">
        <v>555</v>
      </c>
      <c r="B11" s="97">
        <v>16340.55</v>
      </c>
      <c r="C11" s="97">
        <f t="shared" si="2"/>
        <v>16358.87</v>
      </c>
      <c r="D11" s="97">
        <f t="shared" si="3"/>
        <v>16297.275</v>
      </c>
      <c r="E11" s="97">
        <f t="shared" si="4"/>
        <v>16366.78125</v>
      </c>
      <c r="F11" s="97">
        <f t="shared" si="0"/>
        <v>16513.905999999999</v>
      </c>
      <c r="G11" s="101">
        <f t="shared" si="1"/>
        <v>16127.858976000005</v>
      </c>
      <c r="H11" s="97"/>
      <c r="J11" s="31" t="s">
        <v>570</v>
      </c>
      <c r="K11" s="31">
        <v>0.5</v>
      </c>
    </row>
    <row r="12" spans="1:11" x14ac:dyDescent="0.6">
      <c r="A12" s="97" t="s">
        <v>554</v>
      </c>
      <c r="B12" s="97">
        <v>16520.849999999999</v>
      </c>
      <c r="C12" s="97">
        <f t="shared" si="2"/>
        <v>16492.919999999998</v>
      </c>
      <c r="D12" s="97">
        <f t="shared" si="3"/>
        <v>16436.287499999999</v>
      </c>
      <c r="E12" s="97">
        <f t="shared" si="4"/>
        <v>16491.40625</v>
      </c>
      <c r="F12" s="97">
        <f t="shared" si="0"/>
        <v>16625.578500000003</v>
      </c>
      <c r="G12" s="101">
        <f t="shared" si="1"/>
        <v>16170.397180800006</v>
      </c>
      <c r="H12" s="97"/>
    </row>
    <row r="13" spans="1:11" x14ac:dyDescent="0.6">
      <c r="A13" s="97" t="s">
        <v>553</v>
      </c>
      <c r="B13" s="97">
        <v>16605.25</v>
      </c>
      <c r="C13" s="97">
        <f t="shared" si="2"/>
        <v>16563.419999999998</v>
      </c>
      <c r="D13" s="97">
        <f t="shared" si="3"/>
        <v>16546.524999999998</v>
      </c>
      <c r="E13" s="97">
        <f t="shared" si="4"/>
        <v>16582.831249999999</v>
      </c>
      <c r="F13" s="97">
        <f t="shared" si="0"/>
        <v>16638.536</v>
      </c>
      <c r="G13" s="101">
        <f t="shared" si="1"/>
        <v>16240.487744640006</v>
      </c>
      <c r="H13" s="97"/>
    </row>
    <row r="14" spans="1:11" x14ac:dyDescent="0.6">
      <c r="A14" s="97" t="s">
        <v>552</v>
      </c>
      <c r="B14" s="97">
        <v>16719.45</v>
      </c>
      <c r="C14" s="97">
        <f t="shared" si="2"/>
        <v>16592.079999999998</v>
      </c>
      <c r="D14" s="97">
        <f t="shared" si="3"/>
        <v>16619.137500000001</v>
      </c>
      <c r="E14" s="97">
        <f t="shared" si="4"/>
        <v>16614.512499999997</v>
      </c>
      <c r="F14" s="97">
        <f t="shared" si="0"/>
        <v>16561.163</v>
      </c>
      <c r="G14" s="101">
        <f t="shared" si="1"/>
        <v>16313.440195712006</v>
      </c>
      <c r="H14" s="97"/>
    </row>
    <row r="15" spans="1:11" x14ac:dyDescent="0.6">
      <c r="A15" s="97" t="s">
        <v>551</v>
      </c>
      <c r="B15" s="97">
        <v>16631</v>
      </c>
      <c r="C15" s="97">
        <f t="shared" si="2"/>
        <v>16616.269999999997</v>
      </c>
      <c r="D15" s="97">
        <f t="shared" si="3"/>
        <v>16609.887499999997</v>
      </c>
      <c r="E15" s="97">
        <f t="shared" si="4"/>
        <v>16614.456249999996</v>
      </c>
      <c r="F15" s="97">
        <f t="shared" si="0"/>
        <v>16597.673999999999</v>
      </c>
      <c r="G15" s="101">
        <f t="shared" si="1"/>
        <v>16394.642156569607</v>
      </c>
      <c r="H15" s="97"/>
    </row>
    <row r="16" spans="1:11" x14ac:dyDescent="0.6">
      <c r="A16" s="97" t="s">
        <v>550</v>
      </c>
      <c r="B16" s="97">
        <v>16483.849999999999</v>
      </c>
      <c r="C16" s="97">
        <f t="shared" si="2"/>
        <v>16681.139999999996</v>
      </c>
      <c r="D16" s="97">
        <f t="shared" si="3"/>
        <v>16619.024999999998</v>
      </c>
      <c r="E16" s="97">
        <f t="shared" si="4"/>
        <v>16645.293749999997</v>
      </c>
      <c r="F16" s="97">
        <f t="shared" si="0"/>
        <v>16771.478499999997</v>
      </c>
      <c r="G16" s="101">
        <f t="shared" si="1"/>
        <v>16441.913725255687</v>
      </c>
      <c r="H16" s="97"/>
    </row>
    <row r="17" spans="1:8" x14ac:dyDescent="0.6">
      <c r="A17" s="97" t="s">
        <v>549</v>
      </c>
      <c r="B17" s="97">
        <v>16641.8</v>
      </c>
      <c r="C17" s="97">
        <f t="shared" si="2"/>
        <v>16768.900000000001</v>
      </c>
      <c r="D17" s="97">
        <f t="shared" si="3"/>
        <v>16671.5625</v>
      </c>
      <c r="E17" s="97">
        <f t="shared" si="4"/>
        <v>16737.46875</v>
      </c>
      <c r="F17" s="97">
        <f t="shared" si="0"/>
        <v>16974.984499999999</v>
      </c>
      <c r="G17" s="101">
        <f t="shared" si="1"/>
        <v>16450.300980204549</v>
      </c>
      <c r="H17" s="97"/>
    </row>
    <row r="18" spans="1:8" x14ac:dyDescent="0.6">
      <c r="A18" s="97" t="s">
        <v>548</v>
      </c>
      <c r="B18" s="97">
        <v>16929.599999999999</v>
      </c>
      <c r="C18" s="97">
        <f t="shared" si="2"/>
        <v>16910.71</v>
      </c>
      <c r="D18" s="97">
        <f t="shared" si="3"/>
        <v>16803.375</v>
      </c>
      <c r="E18" s="97">
        <f t="shared" si="4"/>
        <v>16910.400000000001</v>
      </c>
      <c r="F18" s="97">
        <f t="shared" si="0"/>
        <v>17169.9015</v>
      </c>
      <c r="G18" s="101">
        <f t="shared" si="1"/>
        <v>16488.600784163638</v>
      </c>
      <c r="H18" s="97"/>
    </row>
    <row r="19" spans="1:8" x14ac:dyDescent="0.6">
      <c r="A19" s="97" t="s">
        <v>547</v>
      </c>
      <c r="B19" s="97">
        <v>17158.25</v>
      </c>
      <c r="C19" s="97">
        <f t="shared" si="2"/>
        <v>17083.03</v>
      </c>
      <c r="D19" s="97">
        <f t="shared" si="3"/>
        <v>17017.424999999999</v>
      </c>
      <c r="E19" s="97">
        <f t="shared" si="4"/>
        <v>17105.381249999999</v>
      </c>
      <c r="F19" s="97">
        <f t="shared" si="0"/>
        <v>17274.891</v>
      </c>
      <c r="G19" s="101">
        <f t="shared" si="1"/>
        <v>16576.800627330911</v>
      </c>
      <c r="H19" s="97"/>
    </row>
    <row r="20" spans="1:8" x14ac:dyDescent="0.6">
      <c r="A20" s="97" t="s">
        <v>546</v>
      </c>
      <c r="B20" s="97">
        <v>17340.05</v>
      </c>
      <c r="C20" s="97">
        <f t="shared" si="2"/>
        <v>17232.3</v>
      </c>
      <c r="D20" s="97">
        <f t="shared" si="3"/>
        <v>17193.337499999998</v>
      </c>
      <c r="E20" s="97">
        <f t="shared" si="4"/>
        <v>17250.65625</v>
      </c>
      <c r="F20" s="97">
        <f t="shared" si="0"/>
        <v>17340.680500000002</v>
      </c>
      <c r="G20" s="101">
        <f t="shared" si="1"/>
        <v>16693.090501864732</v>
      </c>
      <c r="H20" s="97"/>
    </row>
    <row r="21" spans="1:8" x14ac:dyDescent="0.6">
      <c r="A21" s="97" t="s">
        <v>545</v>
      </c>
      <c r="B21" s="97">
        <v>17345.45</v>
      </c>
      <c r="C21" s="97">
        <f t="shared" si="2"/>
        <v>17322.78</v>
      </c>
      <c r="D21" s="97">
        <f t="shared" si="3"/>
        <v>17307.974999999999</v>
      </c>
      <c r="E21" s="97">
        <f t="shared" si="4"/>
        <v>17335.943749999999</v>
      </c>
      <c r="F21" s="97">
        <f t="shared" si="0"/>
        <v>17370.541000000001</v>
      </c>
      <c r="G21" s="101">
        <f t="shared" si="1"/>
        <v>16822.482401491787</v>
      </c>
      <c r="H21" s="97"/>
    </row>
    <row r="22" spans="1:8" x14ac:dyDescent="0.6">
      <c r="A22" s="97" t="s">
        <v>544</v>
      </c>
      <c r="B22" s="97">
        <v>17388.150000000001</v>
      </c>
      <c r="C22" s="97">
        <f t="shared" si="2"/>
        <v>17370.629999999997</v>
      </c>
      <c r="D22" s="97">
        <f t="shared" si="3"/>
        <v>17363.912499999999</v>
      </c>
      <c r="E22" s="97">
        <f t="shared" si="4"/>
        <v>17371.09375</v>
      </c>
      <c r="F22" s="97">
        <f t="shared" si="0"/>
        <v>17386.547999999999</v>
      </c>
      <c r="G22" s="101">
        <f t="shared" si="1"/>
        <v>16927.075921193431</v>
      </c>
      <c r="H22" s="97"/>
    </row>
    <row r="23" spans="1:8" x14ac:dyDescent="0.6">
      <c r="A23" s="97" t="s">
        <v>543</v>
      </c>
      <c r="B23" s="97">
        <v>17382</v>
      </c>
      <c r="C23" s="97">
        <f t="shared" si="2"/>
        <v>17404.830000000002</v>
      </c>
      <c r="D23" s="97">
        <f t="shared" si="3"/>
        <v>17378.275000000001</v>
      </c>
      <c r="E23" s="97">
        <f t="shared" si="4"/>
        <v>17398.974999999999</v>
      </c>
      <c r="F23" s="97">
        <f t="shared" si="0"/>
        <v>17450.508999999998</v>
      </c>
      <c r="G23" s="101">
        <f t="shared" si="1"/>
        <v>17019.290736954747</v>
      </c>
      <c r="H23" s="97"/>
    </row>
    <row r="24" spans="1:8" x14ac:dyDescent="0.6">
      <c r="A24" s="97" t="s">
        <v>542</v>
      </c>
      <c r="B24" s="97">
        <v>17397.5</v>
      </c>
      <c r="C24" s="97"/>
      <c r="D24" s="97">
        <f t="shared" si="3"/>
        <v>17419.674999999999</v>
      </c>
      <c r="E24" s="97"/>
      <c r="F24" s="97"/>
      <c r="G24" s="101">
        <f t="shared" si="1"/>
        <v>17091.832589563797</v>
      </c>
      <c r="H24" s="97"/>
    </row>
    <row r="25" spans="1:8" x14ac:dyDescent="0.6">
      <c r="A25" s="97" t="s">
        <v>541</v>
      </c>
      <c r="B25" s="97">
        <v>17511.05</v>
      </c>
      <c r="C25" s="97"/>
      <c r="D25" s="97"/>
      <c r="E25" s="97"/>
      <c r="F25" s="97"/>
      <c r="G25" s="101">
        <f t="shared" si="1"/>
        <v>17152.966071651041</v>
      </c>
      <c r="H25" s="97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3C63-3E2C-4A47-B24F-1103DC8664FD}">
  <dimension ref="A1:Q1262"/>
  <sheetViews>
    <sheetView topLeftCell="A1086" zoomScale="55" zoomScaleNormal="55" workbookViewId="0">
      <selection activeCell="G1110" sqref="G1110"/>
    </sheetView>
  </sheetViews>
  <sheetFormatPr defaultColWidth="8.84375" defaultRowHeight="23.15" x14ac:dyDescent="0.6"/>
  <cols>
    <col min="1" max="1" width="16.23046875" style="30" customWidth="1"/>
    <col min="2" max="2" width="39.69140625" style="30" customWidth="1"/>
    <col min="3" max="3" width="59.84375" style="30" customWidth="1"/>
    <col min="4" max="5" width="29.765625" style="30" customWidth="1"/>
    <col min="6" max="6" width="29.84375" style="30" customWidth="1"/>
    <col min="7" max="9" width="8.84375" style="30"/>
    <col min="10" max="10" width="10.53515625" style="30" bestFit="1" customWidth="1"/>
    <col min="11" max="16384" width="8.84375" style="30"/>
  </cols>
  <sheetData>
    <row r="1" spans="1:5" x14ac:dyDescent="0.6">
      <c r="B1" s="110">
        <v>44781</v>
      </c>
    </row>
    <row r="2" spans="1:5" ht="33.450000000000003" x14ac:dyDescent="0.85">
      <c r="A2"/>
      <c r="B2" s="29" t="s">
        <v>575</v>
      </c>
    </row>
    <row r="3" spans="1:5" x14ac:dyDescent="0.6">
      <c r="A3" s="91" t="s">
        <v>448</v>
      </c>
      <c r="B3" s="91" t="s">
        <v>576</v>
      </c>
      <c r="C3" s="91"/>
      <c r="D3" s="91"/>
      <c r="E3" s="91"/>
    </row>
    <row r="4" spans="1:5" x14ac:dyDescent="0.6">
      <c r="A4" s="30" t="s">
        <v>449</v>
      </c>
      <c r="B4" s="30" t="s">
        <v>577</v>
      </c>
    </row>
    <row r="6" spans="1:5" x14ac:dyDescent="0.6">
      <c r="A6" s="30" t="s">
        <v>448</v>
      </c>
      <c r="B6" s="30" t="s">
        <v>578</v>
      </c>
    </row>
    <row r="7" spans="1:5" x14ac:dyDescent="0.6">
      <c r="B7" s="30" t="s">
        <v>579</v>
      </c>
    </row>
    <row r="8" spans="1:5" x14ac:dyDescent="0.6">
      <c r="A8" s="30">
        <v>1</v>
      </c>
      <c r="B8" s="30" t="s">
        <v>580</v>
      </c>
    </row>
    <row r="9" spans="1:5" x14ac:dyDescent="0.6">
      <c r="B9" s="30" t="s">
        <v>581</v>
      </c>
    </row>
    <row r="10" spans="1:5" x14ac:dyDescent="0.6">
      <c r="A10" s="30">
        <v>2</v>
      </c>
      <c r="B10" s="30" t="s">
        <v>582</v>
      </c>
    </row>
    <row r="11" spans="1:5" x14ac:dyDescent="0.6">
      <c r="A11" s="30">
        <v>3</v>
      </c>
      <c r="B11" s="30" t="s">
        <v>583</v>
      </c>
    </row>
    <row r="12" spans="1:5" x14ac:dyDescent="0.6">
      <c r="B12" s="102" t="s">
        <v>584</v>
      </c>
    </row>
    <row r="13" spans="1:5" x14ac:dyDescent="0.6">
      <c r="B13" s="30" t="s">
        <v>585</v>
      </c>
    </row>
    <row r="14" spans="1:5" x14ac:dyDescent="0.6">
      <c r="A14" s="30">
        <v>4</v>
      </c>
      <c r="B14" s="30" t="s">
        <v>586</v>
      </c>
    </row>
    <row r="15" spans="1:5" x14ac:dyDescent="0.6">
      <c r="B15" s="30" t="s">
        <v>587</v>
      </c>
    </row>
    <row r="16" spans="1:5" ht="26.15" x14ac:dyDescent="0.7">
      <c r="A16" s="30">
        <v>5</v>
      </c>
      <c r="B16" s="1" t="s">
        <v>588</v>
      </c>
    </row>
    <row r="17" spans="1:2" ht="26.15" x14ac:dyDescent="0.7">
      <c r="A17" s="30">
        <v>6</v>
      </c>
      <c r="B17" s="1" t="s">
        <v>589</v>
      </c>
    </row>
    <row r="19" spans="1:2" x14ac:dyDescent="0.6">
      <c r="B19" s="30" t="s">
        <v>590</v>
      </c>
    </row>
    <row r="20" spans="1:2" x14ac:dyDescent="0.6">
      <c r="B20" s="30" t="s">
        <v>591</v>
      </c>
    </row>
    <row r="21" spans="1:2" x14ac:dyDescent="0.6">
      <c r="B21" s="30" t="s">
        <v>592</v>
      </c>
    </row>
    <row r="23" spans="1:2" ht="26.15" x14ac:dyDescent="0.7">
      <c r="B23" s="1" t="s">
        <v>593</v>
      </c>
    </row>
    <row r="24" spans="1:2" ht="26.15" x14ac:dyDescent="0.7">
      <c r="B24" s="1" t="s">
        <v>594</v>
      </c>
    </row>
    <row r="25" spans="1:2" ht="26.15" x14ac:dyDescent="0.7">
      <c r="B25" s="1" t="s">
        <v>595</v>
      </c>
    </row>
    <row r="26" spans="1:2" ht="28.3" x14ac:dyDescent="0.75">
      <c r="B26" s="86" t="s">
        <v>596</v>
      </c>
    </row>
    <row r="27" spans="1:2" ht="26.15" x14ac:dyDescent="0.7">
      <c r="B27" s="1" t="s">
        <v>597</v>
      </c>
    </row>
    <row r="28" spans="1:2" ht="26.15" x14ac:dyDescent="0.7">
      <c r="B28" s="1" t="s">
        <v>598</v>
      </c>
    </row>
    <row r="30" spans="1:2" ht="61.3" x14ac:dyDescent="1.55">
      <c r="A30" s="103"/>
      <c r="B30" s="104" t="s">
        <v>599</v>
      </c>
    </row>
    <row r="31" spans="1:2" ht="28.3" x14ac:dyDescent="0.75">
      <c r="A31" s="86">
        <v>1</v>
      </c>
      <c r="B31" s="86" t="s">
        <v>600</v>
      </c>
    </row>
    <row r="32" spans="1:2" ht="28.3" x14ac:dyDescent="0.75">
      <c r="A32" s="86">
        <v>2</v>
      </c>
      <c r="B32" s="86" t="s">
        <v>601</v>
      </c>
    </row>
    <row r="33" spans="1:13" ht="28.3" x14ac:dyDescent="0.75">
      <c r="A33" s="86">
        <v>3</v>
      </c>
      <c r="B33" s="86" t="s">
        <v>602</v>
      </c>
    </row>
    <row r="35" spans="1:13" ht="28.3" x14ac:dyDescent="0.75">
      <c r="A35" s="86">
        <v>1</v>
      </c>
      <c r="B35" s="86" t="s">
        <v>600</v>
      </c>
    </row>
    <row r="36" spans="1:13" ht="28.3" x14ac:dyDescent="0.75">
      <c r="B36" s="86" t="s">
        <v>603</v>
      </c>
      <c r="C36"/>
      <c r="D36"/>
      <c r="E36" s="105"/>
      <c r="F36" s="105"/>
      <c r="G36"/>
      <c r="H36"/>
      <c r="I36"/>
      <c r="J36"/>
      <c r="K36"/>
      <c r="L36"/>
      <c r="M36"/>
    </row>
    <row r="37" spans="1:13" ht="28.3" x14ac:dyDescent="0.75">
      <c r="B37" s="86" t="s">
        <v>604</v>
      </c>
      <c r="D37"/>
      <c r="E37" s="105"/>
      <c r="F37" s="105"/>
      <c r="G37"/>
      <c r="H37"/>
      <c r="I37" s="106" t="s">
        <v>605</v>
      </c>
    </row>
    <row r="39" spans="1:13" x14ac:dyDescent="0.6">
      <c r="B39" s="30" t="s">
        <v>606</v>
      </c>
    </row>
    <row r="44" spans="1:13" x14ac:dyDescent="0.6">
      <c r="B44" s="30" t="s">
        <v>607</v>
      </c>
    </row>
    <row r="45" spans="1:13" x14ac:dyDescent="0.6">
      <c r="A45" s="30" t="s">
        <v>608</v>
      </c>
      <c r="B45" s="30" t="s">
        <v>609</v>
      </c>
    </row>
    <row r="46" spans="1:13" x14ac:dyDescent="0.6">
      <c r="A46" s="30" t="s">
        <v>610</v>
      </c>
      <c r="B46" s="30" t="s">
        <v>611</v>
      </c>
    </row>
    <row r="48" spans="1:13" x14ac:dyDescent="0.6">
      <c r="A48" s="30" t="s">
        <v>16</v>
      </c>
      <c r="B48" s="30" t="s">
        <v>612</v>
      </c>
    </row>
    <row r="50" spans="1:4" x14ac:dyDescent="0.6">
      <c r="B50" s="30" t="s">
        <v>613</v>
      </c>
    </row>
    <row r="51" spans="1:4" ht="28.3" x14ac:dyDescent="0.75">
      <c r="B51" s="86" t="s">
        <v>604</v>
      </c>
    </row>
    <row r="52" spans="1:4" x14ac:dyDescent="0.6">
      <c r="B52" s="30" t="s">
        <v>614</v>
      </c>
      <c r="D52" s="30" t="s">
        <v>615</v>
      </c>
    </row>
    <row r="53" spans="1:4" ht="28.3" x14ac:dyDescent="0.75">
      <c r="B53" s="86" t="s">
        <v>616</v>
      </c>
    </row>
    <row r="54" spans="1:4" ht="28.3" x14ac:dyDescent="0.75">
      <c r="B54" s="86" t="s">
        <v>617</v>
      </c>
    </row>
    <row r="56" spans="1:4" x14ac:dyDescent="0.6">
      <c r="A56" s="30" t="s">
        <v>67</v>
      </c>
      <c r="B56" s="30" t="s">
        <v>618</v>
      </c>
    </row>
    <row r="58" spans="1:4" x14ac:dyDescent="0.6">
      <c r="B58" s="30" t="s">
        <v>619</v>
      </c>
    </row>
    <row r="59" spans="1:4" ht="28.3" x14ac:dyDescent="0.75">
      <c r="B59" s="86" t="s">
        <v>620</v>
      </c>
    </row>
    <row r="61" spans="1:4" ht="30.9" x14ac:dyDescent="0.8">
      <c r="A61" s="2">
        <v>2</v>
      </c>
      <c r="B61" s="2" t="s">
        <v>601</v>
      </c>
    </row>
    <row r="62" spans="1:4" x14ac:dyDescent="0.6">
      <c r="B62" s="30" t="s">
        <v>621</v>
      </c>
    </row>
    <row r="64" spans="1:4" x14ac:dyDescent="0.6">
      <c r="B64" s="30" t="s">
        <v>622</v>
      </c>
    </row>
    <row r="65" spans="1:4" x14ac:dyDescent="0.6">
      <c r="B65" s="30" t="s">
        <v>623</v>
      </c>
    </row>
    <row r="66" spans="1:4" x14ac:dyDescent="0.6">
      <c r="B66" s="30" t="s">
        <v>624</v>
      </c>
    </row>
    <row r="68" spans="1:4" x14ac:dyDescent="0.6">
      <c r="B68" s="30" t="s">
        <v>625</v>
      </c>
    </row>
    <row r="70" spans="1:4" x14ac:dyDescent="0.6">
      <c r="B70" s="30" t="s">
        <v>626</v>
      </c>
    </row>
    <row r="71" spans="1:4" x14ac:dyDescent="0.6">
      <c r="B71" s="30" t="s">
        <v>627</v>
      </c>
    </row>
    <row r="72" spans="1:4" x14ac:dyDescent="0.6">
      <c r="B72" s="30" t="s">
        <v>628</v>
      </c>
    </row>
    <row r="73" spans="1:4" x14ac:dyDescent="0.6">
      <c r="B73" s="96"/>
      <c r="C73" s="107" t="s">
        <v>629</v>
      </c>
      <c r="D73" s="107" t="s">
        <v>630</v>
      </c>
    </row>
    <row r="74" spans="1:4" x14ac:dyDescent="0.6">
      <c r="B74" s="107" t="s">
        <v>631</v>
      </c>
      <c r="C74" s="107" t="s">
        <v>6</v>
      </c>
      <c r="D74" s="107" t="s">
        <v>450</v>
      </c>
    </row>
    <row r="75" spans="1:4" x14ac:dyDescent="0.6">
      <c r="B75" s="107" t="s">
        <v>632</v>
      </c>
      <c r="C75" s="107" t="s">
        <v>449</v>
      </c>
      <c r="D75" s="107" t="s">
        <v>448</v>
      </c>
    </row>
    <row r="77" spans="1:4" ht="35.6" x14ac:dyDescent="0.9">
      <c r="A77" s="74">
        <v>3</v>
      </c>
      <c r="B77" s="74" t="s">
        <v>633</v>
      </c>
    </row>
    <row r="78" spans="1:4" x14ac:dyDescent="0.6">
      <c r="A78"/>
      <c r="B78"/>
    </row>
    <row r="79" spans="1:4" x14ac:dyDescent="0.6">
      <c r="B79" s="30" t="s">
        <v>634</v>
      </c>
    </row>
    <row r="82" spans="2:9" x14ac:dyDescent="0.6">
      <c r="C82" s="108" t="s">
        <v>448</v>
      </c>
    </row>
    <row r="83" spans="2:9" x14ac:dyDescent="0.6">
      <c r="F83" s="30" t="s">
        <v>449</v>
      </c>
    </row>
    <row r="86" spans="2:9" x14ac:dyDescent="0.6">
      <c r="B86" s="30" t="s">
        <v>635</v>
      </c>
    </row>
    <row r="87" spans="2:9" x14ac:dyDescent="0.6">
      <c r="B87" s="30" t="s">
        <v>636</v>
      </c>
    </row>
    <row r="88" spans="2:9" ht="30.9" x14ac:dyDescent="0.8">
      <c r="B88" s="2" t="s">
        <v>637</v>
      </c>
    </row>
    <row r="89" spans="2:9" ht="35.6" x14ac:dyDescent="0.9">
      <c r="B89" s="74" t="s">
        <v>638</v>
      </c>
    </row>
    <row r="91" spans="2:9" x14ac:dyDescent="0.6">
      <c r="B91" s="30" t="s">
        <v>639</v>
      </c>
    </row>
    <row r="92" spans="2:9" ht="35.6" x14ac:dyDescent="0.9">
      <c r="B92" s="74" t="s">
        <v>640</v>
      </c>
    </row>
    <row r="94" spans="2:9" ht="46.3" x14ac:dyDescent="1.2">
      <c r="B94" s="43" t="s">
        <v>641</v>
      </c>
      <c r="C94" s="43"/>
      <c r="D94" s="43"/>
      <c r="E94" s="43"/>
      <c r="F94" s="43"/>
      <c r="G94" s="43"/>
      <c r="H94" s="43"/>
      <c r="I94" s="43"/>
    </row>
    <row r="97" spans="1:5" x14ac:dyDescent="0.6">
      <c r="A97" s="30" t="s">
        <v>286</v>
      </c>
      <c r="B97" s="30" t="s">
        <v>642</v>
      </c>
      <c r="C97"/>
      <c r="D97"/>
    </row>
    <row r="98" spans="1:5" x14ac:dyDescent="0.6">
      <c r="A98" s="30" t="s">
        <v>608</v>
      </c>
      <c r="B98" s="30" t="s">
        <v>643</v>
      </c>
      <c r="C98"/>
      <c r="D98"/>
    </row>
    <row r="100" spans="1:5" ht="28.3" x14ac:dyDescent="0.75">
      <c r="B100" s="86" t="s">
        <v>644</v>
      </c>
      <c r="C100"/>
      <c r="D100"/>
      <c r="E100" s="105"/>
    </row>
    <row r="101" spans="1:5" ht="28.3" x14ac:dyDescent="0.75">
      <c r="B101" s="86" t="s">
        <v>645</v>
      </c>
      <c r="C101"/>
      <c r="D101"/>
      <c r="E101" s="105"/>
    </row>
    <row r="102" spans="1:5" ht="28.3" x14ac:dyDescent="0.75">
      <c r="B102" s="86" t="s">
        <v>646</v>
      </c>
    </row>
    <row r="104" spans="1:5" x14ac:dyDescent="0.6">
      <c r="A104" s="30" t="s">
        <v>610</v>
      </c>
      <c r="B104" s="30" t="s">
        <v>647</v>
      </c>
    </row>
    <row r="105" spans="1:5" x14ac:dyDescent="0.6">
      <c r="B105" s="30" t="s">
        <v>648</v>
      </c>
    </row>
    <row r="106" spans="1:5" x14ac:dyDescent="0.6">
      <c r="B106" s="30" t="s">
        <v>649</v>
      </c>
    </row>
    <row r="108" spans="1:5" x14ac:dyDescent="0.6">
      <c r="A108" s="30" t="s">
        <v>650</v>
      </c>
      <c r="B108" s="30" t="s">
        <v>651</v>
      </c>
    </row>
    <row r="110" spans="1:5" x14ac:dyDescent="0.6">
      <c r="B110" s="30" t="s">
        <v>652</v>
      </c>
    </row>
    <row r="112" spans="1:5" x14ac:dyDescent="0.6">
      <c r="A112" s="30" t="s">
        <v>653</v>
      </c>
      <c r="B112" s="30" t="s">
        <v>654</v>
      </c>
    </row>
    <row r="114" spans="1:10" x14ac:dyDescent="0.6">
      <c r="B114" s="30" t="s">
        <v>655</v>
      </c>
    </row>
    <row r="116" spans="1:10" x14ac:dyDescent="0.6">
      <c r="A116" s="30" t="s">
        <v>298</v>
      </c>
      <c r="B116" s="30" t="s">
        <v>656</v>
      </c>
    </row>
    <row r="117" spans="1:10" x14ac:dyDescent="0.6">
      <c r="B117" s="30" t="s">
        <v>657</v>
      </c>
    </row>
    <row r="118" spans="1:10" x14ac:dyDescent="0.6">
      <c r="A118" s="30" t="s">
        <v>658</v>
      </c>
      <c r="B118" s="30" t="s">
        <v>659</v>
      </c>
      <c r="D118" s="109" t="s">
        <v>660</v>
      </c>
      <c r="J118" s="109" t="s">
        <v>660</v>
      </c>
    </row>
    <row r="119" spans="1:10" x14ac:dyDescent="0.6">
      <c r="A119" s="30" t="s">
        <v>432</v>
      </c>
      <c r="B119" s="30" t="s">
        <v>661</v>
      </c>
      <c r="D119" s="109" t="s">
        <v>662</v>
      </c>
      <c r="J119" s="109" t="s">
        <v>662</v>
      </c>
    </row>
    <row r="120" spans="1:10" x14ac:dyDescent="0.6">
      <c r="A120" s="30" t="s">
        <v>435</v>
      </c>
      <c r="B120" s="30" t="s">
        <v>663</v>
      </c>
      <c r="D120" s="109" t="s">
        <v>664</v>
      </c>
      <c r="J120" s="109" t="s">
        <v>664</v>
      </c>
    </row>
    <row r="121" spans="1:10" x14ac:dyDescent="0.6">
      <c r="A121" s="30" t="s">
        <v>665</v>
      </c>
      <c r="B121" s="30" t="s">
        <v>666</v>
      </c>
      <c r="D121" s="109" t="s">
        <v>667</v>
      </c>
      <c r="J121" s="109" t="s">
        <v>667</v>
      </c>
    </row>
    <row r="122" spans="1:10" x14ac:dyDescent="0.6">
      <c r="A122" s="30" t="s">
        <v>668</v>
      </c>
      <c r="B122" s="30" t="s">
        <v>669</v>
      </c>
      <c r="D122" s="109" t="s">
        <v>670</v>
      </c>
      <c r="J122" s="109" t="s">
        <v>670</v>
      </c>
    </row>
    <row r="125" spans="1:10" x14ac:dyDescent="0.6">
      <c r="A125" s="30" t="s">
        <v>703</v>
      </c>
      <c r="B125" s="30" t="s">
        <v>671</v>
      </c>
      <c r="F125" s="105"/>
      <c r="G125"/>
      <c r="H125"/>
      <c r="I125"/>
    </row>
    <row r="126" spans="1:10" x14ac:dyDescent="0.6">
      <c r="B126" s="30" t="s">
        <v>672</v>
      </c>
      <c r="F126" s="105"/>
      <c r="G126"/>
      <c r="H126"/>
      <c r="I126"/>
    </row>
    <row r="127" spans="1:10" x14ac:dyDescent="0.6">
      <c r="B127" s="31" t="s">
        <v>673</v>
      </c>
      <c r="C127" s="31" t="s">
        <v>448</v>
      </c>
      <c r="D127" s="31" t="s">
        <v>449</v>
      </c>
      <c r="F127" s="105"/>
      <c r="G127"/>
      <c r="H127"/>
      <c r="I127"/>
    </row>
    <row r="128" spans="1:10" x14ac:dyDescent="0.6">
      <c r="B128" s="31" t="s">
        <v>674</v>
      </c>
      <c r="C128" s="61">
        <v>0.96</v>
      </c>
      <c r="D128" s="61">
        <v>0.92</v>
      </c>
      <c r="F128" s="105"/>
      <c r="G128"/>
      <c r="H128"/>
      <c r="I128"/>
    </row>
    <row r="129" spans="1:12" x14ac:dyDescent="0.6">
      <c r="B129" s="37" t="s">
        <v>675</v>
      </c>
      <c r="C129" s="61">
        <v>0.02</v>
      </c>
      <c r="D129" s="61">
        <v>0.05</v>
      </c>
      <c r="F129" s="105"/>
      <c r="G129"/>
      <c r="H129"/>
      <c r="I129"/>
    </row>
    <row r="130" spans="1:12" ht="46.3" x14ac:dyDescent="0.6">
      <c r="A130"/>
      <c r="B130" s="37" t="s">
        <v>676</v>
      </c>
      <c r="C130" s="61">
        <v>0.02</v>
      </c>
      <c r="D130" s="61">
        <v>0.03</v>
      </c>
      <c r="E130" s="105"/>
      <c r="F130" s="105"/>
      <c r="G130"/>
      <c r="H130"/>
      <c r="I130"/>
    </row>
    <row r="131" spans="1:12" x14ac:dyDescent="0.6">
      <c r="A131"/>
      <c r="B131"/>
      <c r="C131"/>
      <c r="D131"/>
      <c r="E131" s="105"/>
      <c r="F131" s="105"/>
      <c r="G131"/>
      <c r="H131"/>
      <c r="I131"/>
    </row>
    <row r="132" spans="1:12" x14ac:dyDescent="0.6">
      <c r="A132" s="30" t="s">
        <v>658</v>
      </c>
      <c r="B132" s="30" t="s">
        <v>677</v>
      </c>
      <c r="C132"/>
      <c r="D132"/>
      <c r="E132" s="105"/>
      <c r="F132" s="105"/>
      <c r="G132"/>
      <c r="H132"/>
      <c r="I132"/>
    </row>
    <row r="133" spans="1:12" x14ac:dyDescent="0.6">
      <c r="A133" s="30" t="s">
        <v>432</v>
      </c>
      <c r="B133" s="30" t="s">
        <v>678</v>
      </c>
      <c r="C133"/>
      <c r="D133"/>
      <c r="E133" s="105"/>
      <c r="F133" s="105"/>
      <c r="G133"/>
      <c r="H133"/>
      <c r="I133"/>
    </row>
    <row r="134" spans="1:12" x14ac:dyDescent="0.6">
      <c r="A134" s="30" t="s">
        <v>435</v>
      </c>
      <c r="B134" s="30" t="s">
        <v>679</v>
      </c>
      <c r="C134"/>
      <c r="D134"/>
      <c r="E134" s="105"/>
      <c r="F134" s="105"/>
      <c r="G134"/>
      <c r="H134"/>
      <c r="I134"/>
    </row>
    <row r="135" spans="1:12" x14ac:dyDescent="0.6">
      <c r="A135" s="30" t="s">
        <v>665</v>
      </c>
      <c r="B135" s="30" t="s">
        <v>680</v>
      </c>
      <c r="C135"/>
      <c r="D135"/>
      <c r="E135" s="105"/>
      <c r="F135" s="105"/>
      <c r="G135"/>
      <c r="H135"/>
      <c r="I135"/>
    </row>
    <row r="136" spans="1:12" x14ac:dyDescent="0.6">
      <c r="A136" s="30" t="s">
        <v>668</v>
      </c>
      <c r="B136" s="30" t="s">
        <v>681</v>
      </c>
      <c r="C136"/>
      <c r="D136"/>
      <c r="E136" s="105"/>
      <c r="F136" s="105"/>
      <c r="G136"/>
      <c r="H136"/>
      <c r="I136"/>
    </row>
    <row r="138" spans="1:12" x14ac:dyDescent="0.6">
      <c r="B138" s="30" t="s">
        <v>682</v>
      </c>
      <c r="L138"/>
    </row>
    <row r="139" spans="1:12" x14ac:dyDescent="0.6">
      <c r="B139" s="30" t="s">
        <v>683</v>
      </c>
      <c r="L139"/>
    </row>
    <row r="140" spans="1:12" x14ac:dyDescent="0.6">
      <c r="B140" s="31" t="s">
        <v>684</v>
      </c>
      <c r="C140" s="61">
        <f>C128</f>
        <v>0.96</v>
      </c>
      <c r="E140" s="31" t="s">
        <v>685</v>
      </c>
      <c r="F140" s="61">
        <v>0.04</v>
      </c>
      <c r="L140"/>
    </row>
    <row r="141" spans="1:12" x14ac:dyDescent="0.6">
      <c r="B141" s="31" t="s">
        <v>686</v>
      </c>
      <c r="C141" s="61">
        <f t="shared" ref="C141:C142" si="0">C129</f>
        <v>0.02</v>
      </c>
      <c r="E141" s="31" t="s">
        <v>687</v>
      </c>
      <c r="F141" s="61">
        <v>0.98</v>
      </c>
      <c r="L141"/>
    </row>
    <row r="142" spans="1:12" x14ac:dyDescent="0.6">
      <c r="B142" s="31" t="s">
        <v>688</v>
      </c>
      <c r="C142" s="61">
        <f t="shared" si="0"/>
        <v>0.02</v>
      </c>
      <c r="E142" s="31" t="s">
        <v>689</v>
      </c>
      <c r="F142" s="61">
        <v>0.98</v>
      </c>
      <c r="L142"/>
    </row>
    <row r="143" spans="1:12" x14ac:dyDescent="0.6">
      <c r="B143" s="31" t="s">
        <v>690</v>
      </c>
      <c r="C143" s="61">
        <f>D128</f>
        <v>0.92</v>
      </c>
      <c r="E143" s="31" t="s">
        <v>691</v>
      </c>
      <c r="F143" s="61">
        <v>0.08</v>
      </c>
      <c r="L143"/>
    </row>
    <row r="144" spans="1:12" x14ac:dyDescent="0.6">
      <c r="B144" s="31" t="s">
        <v>692</v>
      </c>
      <c r="C144" s="61">
        <f t="shared" ref="C144:C145" si="1">D129</f>
        <v>0.05</v>
      </c>
      <c r="E144" s="31" t="s">
        <v>693</v>
      </c>
      <c r="F144" s="61">
        <v>0.95</v>
      </c>
      <c r="L144"/>
    </row>
    <row r="145" spans="1:12" x14ac:dyDescent="0.6">
      <c r="B145" s="31" t="s">
        <v>694</v>
      </c>
      <c r="C145" s="61">
        <f t="shared" si="1"/>
        <v>0.03</v>
      </c>
      <c r="E145" s="31" t="s">
        <v>695</v>
      </c>
      <c r="F145" s="61">
        <v>0.97</v>
      </c>
      <c r="L145"/>
    </row>
    <row r="147" spans="1:12" x14ac:dyDescent="0.6">
      <c r="A147" s="30" t="s">
        <v>658</v>
      </c>
      <c r="B147" s="30" t="s">
        <v>677</v>
      </c>
    </row>
    <row r="148" spans="1:12" ht="26.15" x14ac:dyDescent="0.7">
      <c r="B148" s="30" t="s">
        <v>696</v>
      </c>
    </row>
    <row r="150" spans="1:12" x14ac:dyDescent="0.6">
      <c r="A150" s="30" t="s">
        <v>432</v>
      </c>
      <c r="B150" s="30" t="s">
        <v>678</v>
      </c>
    </row>
    <row r="151" spans="1:12" ht="25.3" x14ac:dyDescent="0.65">
      <c r="B151" s="30" t="s">
        <v>697</v>
      </c>
    </row>
    <row r="153" spans="1:12" x14ac:dyDescent="0.6">
      <c r="A153" s="30" t="s">
        <v>435</v>
      </c>
      <c r="B153" s="30" t="s">
        <v>679</v>
      </c>
      <c r="G153"/>
      <c r="H153"/>
      <c r="I153"/>
      <c r="J153"/>
      <c r="K153"/>
    </row>
    <row r="154" spans="1:12" x14ac:dyDescent="0.6">
      <c r="B154" s="30" t="s">
        <v>698</v>
      </c>
      <c r="G154"/>
      <c r="H154"/>
      <c r="I154"/>
      <c r="J154"/>
      <c r="K154"/>
    </row>
    <row r="155" spans="1:12" x14ac:dyDescent="0.6">
      <c r="B155" s="30" t="s">
        <v>699</v>
      </c>
    </row>
    <row r="156" spans="1:12" x14ac:dyDescent="0.6">
      <c r="B156" s="30" t="s">
        <v>700</v>
      </c>
    </row>
    <row r="158" spans="1:12" x14ac:dyDescent="0.6">
      <c r="A158" s="30" t="s">
        <v>665</v>
      </c>
      <c r="B158" s="30" t="s">
        <v>680</v>
      </c>
    </row>
    <row r="159" spans="1:12" ht="25.3" x14ac:dyDescent="0.65">
      <c r="B159" s="30" t="s">
        <v>701</v>
      </c>
    </row>
    <row r="161" spans="1:13" x14ac:dyDescent="0.6">
      <c r="A161" s="30" t="s">
        <v>668</v>
      </c>
      <c r="B161" s="30" t="s">
        <v>681</v>
      </c>
    </row>
    <row r="162" spans="1:13" ht="25.3" x14ac:dyDescent="0.65">
      <c r="B162" s="30" t="s">
        <v>702</v>
      </c>
    </row>
    <row r="165" spans="1:13" ht="35.6" x14ac:dyDescent="0.9">
      <c r="A165" s="30" t="s">
        <v>16</v>
      </c>
      <c r="B165" s="74" t="s">
        <v>704</v>
      </c>
    </row>
    <row r="166" spans="1:13" x14ac:dyDescent="0.6">
      <c r="B166" s="30" t="s">
        <v>705</v>
      </c>
      <c r="G166"/>
      <c r="H166"/>
      <c r="I166"/>
      <c r="J166"/>
      <c r="K166"/>
      <c r="L166"/>
      <c r="M166"/>
    </row>
    <row r="167" spans="1:13" ht="35.6" x14ac:dyDescent="0.9">
      <c r="B167" s="31"/>
      <c r="C167" s="31" t="s">
        <v>706</v>
      </c>
      <c r="D167" s="31" t="s">
        <v>449</v>
      </c>
      <c r="E167" s="31" t="s">
        <v>707</v>
      </c>
      <c r="F167" s="31" t="s">
        <v>708</v>
      </c>
      <c r="I167" s="74" t="s">
        <v>638</v>
      </c>
    </row>
    <row r="168" spans="1:13" x14ac:dyDescent="0.6">
      <c r="B168" s="31" t="s">
        <v>709</v>
      </c>
      <c r="C168" s="31">
        <v>5</v>
      </c>
      <c r="D168" s="31">
        <v>4</v>
      </c>
      <c r="E168" s="31">
        <v>3</v>
      </c>
      <c r="F168" s="31">
        <v>12</v>
      </c>
    </row>
    <row r="169" spans="1:13" x14ac:dyDescent="0.6">
      <c r="B169" s="31" t="s">
        <v>6</v>
      </c>
      <c r="C169" s="31">
        <v>1</v>
      </c>
      <c r="D169" s="31">
        <v>2</v>
      </c>
      <c r="E169" s="31">
        <v>6</v>
      </c>
      <c r="F169" s="31">
        <v>9</v>
      </c>
    </row>
    <row r="170" spans="1:13" x14ac:dyDescent="0.6">
      <c r="B170" s="31" t="s">
        <v>710</v>
      </c>
      <c r="C170" s="31">
        <v>6</v>
      </c>
      <c r="D170" s="31">
        <v>6</v>
      </c>
      <c r="E170" s="31">
        <v>9</v>
      </c>
      <c r="F170" s="32">
        <v>21</v>
      </c>
    </row>
    <row r="172" spans="1:13" x14ac:dyDescent="0.6">
      <c r="B172" s="30" t="s">
        <v>711</v>
      </c>
    </row>
    <row r="173" spans="1:13" x14ac:dyDescent="0.6">
      <c r="A173" s="30" t="s">
        <v>430</v>
      </c>
      <c r="B173" s="30" t="s">
        <v>712</v>
      </c>
    </row>
    <row r="174" spans="1:13" x14ac:dyDescent="0.6">
      <c r="A174" s="30" t="s">
        <v>432</v>
      </c>
      <c r="B174" s="30" t="s">
        <v>713</v>
      </c>
    </row>
    <row r="175" spans="1:13" x14ac:dyDescent="0.6">
      <c r="A175" s="30" t="s">
        <v>435</v>
      </c>
      <c r="B175" s="30" t="s">
        <v>714</v>
      </c>
    </row>
    <row r="176" spans="1:13" x14ac:dyDescent="0.6">
      <c r="A176" s="30" t="s">
        <v>665</v>
      </c>
      <c r="B176" s="30" t="s">
        <v>715</v>
      </c>
    </row>
    <row r="177" spans="1:5" x14ac:dyDescent="0.6">
      <c r="A177" s="30" t="s">
        <v>668</v>
      </c>
      <c r="B177" s="30" t="s">
        <v>716</v>
      </c>
    </row>
    <row r="178" spans="1:5" x14ac:dyDescent="0.6">
      <c r="A178" s="30" t="s">
        <v>717</v>
      </c>
      <c r="B178" s="30" t="s">
        <v>718</v>
      </c>
    </row>
    <row r="180" spans="1:5" ht="33.450000000000003" x14ac:dyDescent="0.85">
      <c r="B180" s="29" t="s">
        <v>719</v>
      </c>
    </row>
    <row r="181" spans="1:5" ht="30.9" x14ac:dyDescent="0.8">
      <c r="B181" s="2" t="s">
        <v>720</v>
      </c>
    </row>
    <row r="182" spans="1:5" x14ac:dyDescent="0.6">
      <c r="B182" s="30" t="s">
        <v>721</v>
      </c>
    </row>
    <row r="183" spans="1:5" x14ac:dyDescent="0.6">
      <c r="B183" s="30" t="s">
        <v>722</v>
      </c>
    </row>
    <row r="184" spans="1:5" x14ac:dyDescent="0.6">
      <c r="B184" s="30" t="s">
        <v>723</v>
      </c>
    </row>
    <row r="187" spans="1:5" ht="26.15" x14ac:dyDescent="0.7">
      <c r="A187" s="30" t="s">
        <v>724</v>
      </c>
      <c r="B187" s="1" t="s">
        <v>725</v>
      </c>
    </row>
    <row r="188" spans="1:5" ht="26.15" x14ac:dyDescent="0.7">
      <c r="B188" s="1" t="s">
        <v>726</v>
      </c>
    </row>
    <row r="189" spans="1:5" ht="26.15" x14ac:dyDescent="0.7">
      <c r="B189" s="1" t="s">
        <v>727</v>
      </c>
    </row>
    <row r="191" spans="1:5" ht="28.3" x14ac:dyDescent="0.75">
      <c r="B191" s="86" t="s">
        <v>728</v>
      </c>
      <c r="C191" s="86"/>
      <c r="D191" s="86"/>
      <c r="E191" s="111"/>
    </row>
    <row r="192" spans="1:5" ht="28.3" x14ac:dyDescent="0.75">
      <c r="B192" s="86" t="s">
        <v>729</v>
      </c>
      <c r="C192" s="86"/>
      <c r="D192" s="86"/>
      <c r="E192" s="111"/>
    </row>
    <row r="193" spans="1:5" ht="28.3" x14ac:dyDescent="0.75">
      <c r="B193" s="86" t="s">
        <v>730</v>
      </c>
      <c r="C193" s="86"/>
      <c r="D193" s="86"/>
      <c r="E193" s="111"/>
    </row>
    <row r="194" spans="1:5" ht="28.3" x14ac:dyDescent="0.75">
      <c r="B194" s="86" t="s">
        <v>731</v>
      </c>
      <c r="C194" s="86"/>
      <c r="D194" s="86"/>
      <c r="E194" s="111"/>
    </row>
    <row r="195" spans="1:5" ht="28.3" x14ac:dyDescent="0.75">
      <c r="B195" s="86" t="s">
        <v>732</v>
      </c>
      <c r="C195" s="86"/>
      <c r="D195" s="86"/>
      <c r="E195" s="111"/>
    </row>
    <row r="196" spans="1:5" ht="30.9" x14ac:dyDescent="0.8">
      <c r="B196" s="2" t="s">
        <v>904</v>
      </c>
    </row>
    <row r="197" spans="1:5" ht="30.9" x14ac:dyDescent="0.8">
      <c r="B197" s="2"/>
    </row>
    <row r="198" spans="1:5" ht="26.15" x14ac:dyDescent="0.7">
      <c r="A198" s="30" t="s">
        <v>733</v>
      </c>
      <c r="B198" s="1" t="s">
        <v>734</v>
      </c>
    </row>
    <row r="199" spans="1:5" ht="26.15" x14ac:dyDescent="0.7">
      <c r="B199" s="1" t="s">
        <v>735</v>
      </c>
    </row>
    <row r="200" spans="1:5" ht="26.15" x14ac:dyDescent="0.7">
      <c r="B200" s="1" t="s">
        <v>736</v>
      </c>
    </row>
    <row r="201" spans="1:5" ht="26.15" x14ac:dyDescent="0.7">
      <c r="B201" s="1" t="s">
        <v>737</v>
      </c>
    </row>
    <row r="203" spans="1:5" ht="35.6" x14ac:dyDescent="0.9">
      <c r="B203" s="74" t="s">
        <v>738</v>
      </c>
    </row>
    <row r="205" spans="1:5" ht="26.15" x14ac:dyDescent="0.7">
      <c r="A205" s="30" t="s">
        <v>739</v>
      </c>
      <c r="B205" s="1" t="s">
        <v>740</v>
      </c>
    </row>
    <row r="206" spans="1:5" ht="26.15" x14ac:dyDescent="0.7">
      <c r="B206" s="1" t="s">
        <v>741</v>
      </c>
    </row>
    <row r="207" spans="1:5" ht="26.15" x14ac:dyDescent="0.7">
      <c r="B207" s="1" t="s">
        <v>742</v>
      </c>
    </row>
    <row r="208" spans="1:5" ht="26.15" x14ac:dyDescent="0.7">
      <c r="B208" s="1" t="s">
        <v>743</v>
      </c>
    </row>
    <row r="209" spans="1:14" ht="28.3" x14ac:dyDescent="0.75">
      <c r="B209" s="86" t="s">
        <v>744</v>
      </c>
    </row>
    <row r="211" spans="1:14" ht="26.15" x14ac:dyDescent="0.7">
      <c r="A211" s="30" t="s">
        <v>745</v>
      </c>
      <c r="B211" s="1" t="s">
        <v>746</v>
      </c>
    </row>
    <row r="212" spans="1:14" ht="26.15" x14ac:dyDescent="0.7">
      <c r="B212" s="1" t="s">
        <v>747</v>
      </c>
    </row>
    <row r="213" spans="1:14" ht="26.15" x14ac:dyDescent="0.7">
      <c r="B213" s="1" t="s">
        <v>748</v>
      </c>
    </row>
    <row r="214" spans="1:14" ht="26.15" x14ac:dyDescent="0.7">
      <c r="B214" s="1" t="s">
        <v>749</v>
      </c>
    </row>
    <row r="215" spans="1:14" x14ac:dyDescent="0.6">
      <c r="B215" s="30" t="s">
        <v>750</v>
      </c>
    </row>
    <row r="216" spans="1:14" x14ac:dyDescent="0.6">
      <c r="B216" s="30" t="s">
        <v>751</v>
      </c>
    </row>
    <row r="217" spans="1:14" x14ac:dyDescent="0.6">
      <c r="B217" s="112" t="s">
        <v>752</v>
      </c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</row>
    <row r="218" spans="1:14" x14ac:dyDescent="0.6">
      <c r="B218" s="30" t="s">
        <v>753</v>
      </c>
    </row>
    <row r="219" spans="1:14" x14ac:dyDescent="0.6">
      <c r="B219" s="30" t="s">
        <v>754</v>
      </c>
    </row>
    <row r="220" spans="1:14" x14ac:dyDescent="0.6">
      <c r="B220" s="30" t="s">
        <v>755</v>
      </c>
    </row>
    <row r="221" spans="1:14" x14ac:dyDescent="0.6">
      <c r="B221" s="30" t="s">
        <v>756</v>
      </c>
    </row>
    <row r="223" spans="1:14" x14ac:dyDescent="0.6">
      <c r="B223" s="30" t="s">
        <v>748</v>
      </c>
    </row>
    <row r="225" spans="1:5" ht="26.15" x14ac:dyDescent="0.7">
      <c r="A225" s="30" t="s">
        <v>757</v>
      </c>
      <c r="B225" s="1" t="s">
        <v>758</v>
      </c>
    </row>
    <row r="226" spans="1:5" ht="26.15" x14ac:dyDescent="0.7">
      <c r="B226" s="1" t="s">
        <v>759</v>
      </c>
    </row>
    <row r="227" spans="1:5" ht="26.15" x14ac:dyDescent="0.7">
      <c r="B227" s="1" t="s">
        <v>760</v>
      </c>
    </row>
    <row r="228" spans="1:5" x14ac:dyDescent="0.6">
      <c r="B228" s="30" t="s">
        <v>129</v>
      </c>
      <c r="C228" s="30" t="s">
        <v>761</v>
      </c>
    </row>
    <row r="229" spans="1:5" x14ac:dyDescent="0.6">
      <c r="B229" s="30" t="s">
        <v>131</v>
      </c>
      <c r="C229" s="30" t="s">
        <v>762</v>
      </c>
    </row>
    <row r="230" spans="1:5" x14ac:dyDescent="0.6">
      <c r="C230" s="30" t="s">
        <v>763</v>
      </c>
      <c r="D230" s="113">
        <v>3</v>
      </c>
    </row>
    <row r="231" spans="1:5" x14ac:dyDescent="0.6">
      <c r="B231" s="30" t="s">
        <v>764</v>
      </c>
      <c r="C231" s="30" t="s">
        <v>765</v>
      </c>
    </row>
    <row r="232" spans="1:5" x14ac:dyDescent="0.6">
      <c r="C232" s="30" t="s">
        <v>766</v>
      </c>
      <c r="D232" s="39">
        <v>18</v>
      </c>
    </row>
    <row r="233" spans="1:5" x14ac:dyDescent="0.6">
      <c r="E233" s="39"/>
    </row>
    <row r="234" spans="1:5" x14ac:dyDescent="0.6">
      <c r="B234" s="30" t="s">
        <v>767</v>
      </c>
      <c r="D234" s="113">
        <f>COMBIN(4,2)*COMBIN(5,2)</f>
        <v>60</v>
      </c>
    </row>
    <row r="236" spans="1:5" x14ac:dyDescent="0.6">
      <c r="B236" s="30" t="s">
        <v>768</v>
      </c>
    </row>
    <row r="238" spans="1:5" ht="30.9" x14ac:dyDescent="0.8">
      <c r="B238" s="2" t="s">
        <v>769</v>
      </c>
    </row>
    <row r="239" spans="1:5" x14ac:dyDescent="0.6">
      <c r="B239" s="30" t="s">
        <v>770</v>
      </c>
    </row>
    <row r="240" spans="1:5" x14ac:dyDescent="0.6">
      <c r="B240" s="30" t="s">
        <v>771</v>
      </c>
    </row>
    <row r="241" spans="1:7" x14ac:dyDescent="0.6">
      <c r="B241" s="30" t="s">
        <v>772</v>
      </c>
    </row>
    <row r="242" spans="1:7" x14ac:dyDescent="0.6">
      <c r="B242" s="39" t="s">
        <v>448</v>
      </c>
      <c r="C242" s="39" t="s">
        <v>449</v>
      </c>
      <c r="D242" s="39" t="s">
        <v>450</v>
      </c>
    </row>
    <row r="243" spans="1:7" x14ac:dyDescent="0.6">
      <c r="B243" s="114"/>
      <c r="C243" s="115"/>
      <c r="D243" s="116"/>
    </row>
    <row r="244" spans="1:7" x14ac:dyDescent="0.6">
      <c r="B244" s="117"/>
      <c r="C244" s="117"/>
      <c r="D244" s="118"/>
      <c r="E244" s="30" t="s">
        <v>6</v>
      </c>
    </row>
    <row r="246" spans="1:7" x14ac:dyDescent="0.6">
      <c r="B246" s="30" t="s">
        <v>773</v>
      </c>
    </row>
    <row r="247" spans="1:7" x14ac:dyDescent="0.6">
      <c r="B247" s="30" t="s">
        <v>774</v>
      </c>
    </row>
    <row r="248" spans="1:7" x14ac:dyDescent="0.6">
      <c r="B248" s="30" t="s">
        <v>775</v>
      </c>
    </row>
    <row r="249" spans="1:7" x14ac:dyDescent="0.6">
      <c r="B249" s="30" t="s">
        <v>776</v>
      </c>
    </row>
    <row r="250" spans="1:7" x14ac:dyDescent="0.6">
      <c r="B250" s="91" t="s">
        <v>777</v>
      </c>
      <c r="C250" s="91"/>
      <c r="D250" s="91"/>
      <c r="E250" s="91"/>
      <c r="F250" s="91"/>
      <c r="G250" s="91"/>
    </row>
    <row r="251" spans="1:7" x14ac:dyDescent="0.6">
      <c r="B251" s="30" t="s">
        <v>778</v>
      </c>
    </row>
    <row r="253" spans="1:7" x14ac:dyDescent="0.6">
      <c r="B253" s="30" t="s">
        <v>779</v>
      </c>
    </row>
    <row r="254" spans="1:7" x14ac:dyDescent="0.6">
      <c r="B254" s="91" t="s">
        <v>780</v>
      </c>
      <c r="C254" s="91"/>
      <c r="D254" s="91"/>
      <c r="E254" s="91"/>
      <c r="F254" s="91"/>
    </row>
    <row r="256" spans="1:7" x14ac:dyDescent="0.6">
      <c r="A256" s="30" t="s">
        <v>16</v>
      </c>
      <c r="B256" s="30" t="s">
        <v>781</v>
      </c>
    </row>
    <row r="257" spans="1:2" x14ac:dyDescent="0.6">
      <c r="B257" s="30" t="s">
        <v>782</v>
      </c>
    </row>
    <row r="258" spans="1:2" x14ac:dyDescent="0.6">
      <c r="A258"/>
      <c r="B258" s="30" t="s">
        <v>783</v>
      </c>
    </row>
    <row r="259" spans="1:2" x14ac:dyDescent="0.6">
      <c r="B259" s="30" t="s">
        <v>784</v>
      </c>
    </row>
    <row r="260" spans="1:2" x14ac:dyDescent="0.6">
      <c r="A260" s="30" t="s">
        <v>430</v>
      </c>
      <c r="B260" s="30" t="s">
        <v>785</v>
      </c>
    </row>
    <row r="261" spans="1:2" x14ac:dyDescent="0.6">
      <c r="A261" s="30" t="s">
        <v>432</v>
      </c>
      <c r="B261" s="30" t="s">
        <v>786</v>
      </c>
    </row>
    <row r="262" spans="1:2" x14ac:dyDescent="0.6">
      <c r="A262" s="30" t="s">
        <v>435</v>
      </c>
      <c r="B262" s="30" t="s">
        <v>787</v>
      </c>
    </row>
    <row r="264" spans="1:2" x14ac:dyDescent="0.6">
      <c r="B264" s="30" t="s">
        <v>788</v>
      </c>
    </row>
    <row r="265" spans="1:2" x14ac:dyDescent="0.6">
      <c r="B265" s="30" t="s">
        <v>789</v>
      </c>
    </row>
    <row r="266" spans="1:2" x14ac:dyDescent="0.6">
      <c r="B266" s="30" t="s">
        <v>790</v>
      </c>
    </row>
    <row r="268" spans="1:2" x14ac:dyDescent="0.6">
      <c r="A268" s="30" t="s">
        <v>430</v>
      </c>
      <c r="B268" s="30" t="s">
        <v>785</v>
      </c>
    </row>
    <row r="269" spans="1:2" x14ac:dyDescent="0.6">
      <c r="B269" s="30" t="s">
        <v>791</v>
      </c>
    </row>
    <row r="270" spans="1:2" x14ac:dyDescent="0.6">
      <c r="B270" s="30" t="s">
        <v>792</v>
      </c>
    </row>
    <row r="272" spans="1:2" x14ac:dyDescent="0.6">
      <c r="A272" s="30" t="s">
        <v>432</v>
      </c>
      <c r="B272" s="30" t="s">
        <v>786</v>
      </c>
    </row>
    <row r="273" spans="1:4" x14ac:dyDescent="0.6">
      <c r="B273" s="30" t="s">
        <v>793</v>
      </c>
    </row>
    <row r="275" spans="1:4" x14ac:dyDescent="0.6">
      <c r="A275" s="30" t="s">
        <v>435</v>
      </c>
      <c r="B275" s="30" t="s">
        <v>787</v>
      </c>
    </row>
    <row r="276" spans="1:4" x14ac:dyDescent="0.6">
      <c r="B276" s="30" t="s">
        <v>794</v>
      </c>
    </row>
    <row r="278" spans="1:4" x14ac:dyDescent="0.6">
      <c r="B278" s="30" t="s">
        <v>795</v>
      </c>
    </row>
    <row r="279" spans="1:4" x14ac:dyDescent="0.6">
      <c r="B279" s="30" t="s">
        <v>796</v>
      </c>
    </row>
    <row r="281" spans="1:4" x14ac:dyDescent="0.6">
      <c r="B281" s="30" t="s">
        <v>797</v>
      </c>
      <c r="C281"/>
      <c r="D281"/>
    </row>
    <row r="282" spans="1:4" x14ac:dyDescent="0.6">
      <c r="B282" s="119" t="s">
        <v>798</v>
      </c>
      <c r="C282" s="120" t="s">
        <v>799</v>
      </c>
      <c r="D282" s="119" t="s">
        <v>800</v>
      </c>
    </row>
    <row r="283" spans="1:4" x14ac:dyDescent="0.6">
      <c r="B283" s="119">
        <v>1</v>
      </c>
      <c r="C283" s="119">
        <v>3000</v>
      </c>
      <c r="D283" s="119">
        <f>1%*C283</f>
        <v>30</v>
      </c>
    </row>
    <row r="284" spans="1:4" x14ac:dyDescent="0.6">
      <c r="B284" s="119">
        <v>2</v>
      </c>
      <c r="C284" s="119">
        <v>5000</v>
      </c>
      <c r="D284" s="119">
        <f>0.8%*C284</f>
        <v>40</v>
      </c>
    </row>
    <row r="285" spans="1:4" x14ac:dyDescent="0.6">
      <c r="B285" s="119">
        <v>3</v>
      </c>
      <c r="C285" s="119">
        <v>7000</v>
      </c>
      <c r="D285" s="119">
        <f>1.2%*C285</f>
        <v>84</v>
      </c>
    </row>
    <row r="286" spans="1:4" x14ac:dyDescent="0.6">
      <c r="B286" s="119"/>
      <c r="C286" s="119"/>
      <c r="D286" s="119">
        <f>SUM(D283:D285)</f>
        <v>154</v>
      </c>
    </row>
    <row r="288" spans="1:4" ht="26.15" x14ac:dyDescent="0.7">
      <c r="B288" s="31" t="s">
        <v>801</v>
      </c>
      <c r="C288" s="4">
        <f>D283/$D$286</f>
        <v>0.19480519480519481</v>
      </c>
    </row>
    <row r="289" spans="1:3" ht="26.15" x14ac:dyDescent="0.7">
      <c r="B289" s="31" t="s">
        <v>802</v>
      </c>
      <c r="C289" s="4">
        <f t="shared" ref="C289:C290" si="2">D284/$D$286</f>
        <v>0.25974025974025972</v>
      </c>
    </row>
    <row r="290" spans="1:3" ht="26.15" x14ac:dyDescent="0.7">
      <c r="B290" s="31" t="s">
        <v>803</v>
      </c>
      <c r="C290" s="4">
        <f t="shared" si="2"/>
        <v>0.54545454545454541</v>
      </c>
    </row>
    <row r="291" spans="1:3" ht="28.3" x14ac:dyDescent="0.75">
      <c r="B291" s="31" t="s">
        <v>363</v>
      </c>
      <c r="C291" s="121">
        <f>SUM(C288:C290)</f>
        <v>1</v>
      </c>
    </row>
    <row r="293" spans="1:3" x14ac:dyDescent="0.6">
      <c r="A293" s="30" t="s">
        <v>67</v>
      </c>
      <c r="B293" s="30" t="s">
        <v>781</v>
      </c>
    </row>
    <row r="294" spans="1:3" ht="26.15" x14ac:dyDescent="0.7">
      <c r="A294"/>
      <c r="B294" s="1" t="s">
        <v>804</v>
      </c>
    </row>
    <row r="295" spans="1:3" ht="26.15" x14ac:dyDescent="0.7">
      <c r="A295"/>
      <c r="B295" s="1" t="s">
        <v>805</v>
      </c>
    </row>
    <row r="296" spans="1:3" ht="26.15" x14ac:dyDescent="0.7">
      <c r="A296"/>
      <c r="B296" s="1" t="s">
        <v>806</v>
      </c>
    </row>
    <row r="297" spans="1:3" ht="26.15" x14ac:dyDescent="0.7">
      <c r="A297" s="30" t="s">
        <v>430</v>
      </c>
      <c r="B297" s="1" t="s">
        <v>807</v>
      </c>
    </row>
    <row r="298" spans="1:3" ht="26.15" x14ac:dyDescent="0.7">
      <c r="A298" s="30" t="s">
        <v>432</v>
      </c>
      <c r="B298" s="1" t="s">
        <v>808</v>
      </c>
    </row>
    <row r="300" spans="1:3" x14ac:dyDescent="0.6">
      <c r="B300" s="30" t="s">
        <v>809</v>
      </c>
    </row>
    <row r="301" spans="1:3" x14ac:dyDescent="0.6">
      <c r="B301" s="30" t="s">
        <v>810</v>
      </c>
    </row>
    <row r="302" spans="1:3" x14ac:dyDescent="0.6">
      <c r="B302" s="30" t="s">
        <v>811</v>
      </c>
    </row>
    <row r="303" spans="1:3" x14ac:dyDescent="0.6">
      <c r="B303" s="30" t="s">
        <v>812</v>
      </c>
    </row>
    <row r="305" spans="1:5" x14ac:dyDescent="0.6">
      <c r="A305" s="30" t="s">
        <v>430</v>
      </c>
      <c r="B305" s="30" t="s">
        <v>813</v>
      </c>
    </row>
    <row r="306" spans="1:5" x14ac:dyDescent="0.6">
      <c r="A306" s="30" t="s">
        <v>432</v>
      </c>
      <c r="B306" s="30" t="s">
        <v>814</v>
      </c>
    </row>
    <row r="308" spans="1:5" x14ac:dyDescent="0.6">
      <c r="B308" s="30" t="s">
        <v>815</v>
      </c>
      <c r="C308"/>
      <c r="D308"/>
      <c r="E308" s="105"/>
    </row>
    <row r="309" spans="1:5" x14ac:dyDescent="0.6">
      <c r="C309"/>
      <c r="D309" s="31" t="s">
        <v>816</v>
      </c>
      <c r="E309" s="31" t="s">
        <v>817</v>
      </c>
    </row>
    <row r="310" spans="1:5" x14ac:dyDescent="0.6">
      <c r="B310" s="31" t="s">
        <v>818</v>
      </c>
      <c r="C310" s="31">
        <f>99%*1000000</f>
        <v>990000</v>
      </c>
      <c r="D310" s="31">
        <f>0.01%*C310</f>
        <v>99</v>
      </c>
      <c r="E310" s="31">
        <f>99.99%*C310</f>
        <v>989900.99999999988</v>
      </c>
    </row>
    <row r="311" spans="1:5" x14ac:dyDescent="0.6">
      <c r="B311" s="31" t="s">
        <v>819</v>
      </c>
      <c r="C311" s="31">
        <f>1%*1000000</f>
        <v>10000</v>
      </c>
      <c r="D311" s="31">
        <f>C311-E311</f>
        <v>9997</v>
      </c>
      <c r="E311" s="31">
        <f>0.03%*C311</f>
        <v>2.9999999999999996</v>
      </c>
    </row>
    <row r="312" spans="1:5" x14ac:dyDescent="0.6">
      <c r="D312" s="32">
        <f>SUM(D310:D311)</f>
        <v>10096</v>
      </c>
      <c r="E312" s="32">
        <f>SUM(E310:E311)</f>
        <v>989903.99999999988</v>
      </c>
    </row>
    <row r="313" spans="1:5" x14ac:dyDescent="0.6">
      <c r="A313" s="30" t="s">
        <v>430</v>
      </c>
      <c r="B313" s="39" t="s">
        <v>820</v>
      </c>
      <c r="C313" s="31">
        <f>D310/D312</f>
        <v>9.8058637083993667E-3</v>
      </c>
    </row>
    <row r="314" spans="1:5" x14ac:dyDescent="0.6">
      <c r="A314" s="30" t="s">
        <v>432</v>
      </c>
      <c r="B314" s="39" t="s">
        <v>820</v>
      </c>
      <c r="C314" s="31">
        <f>E311/E312</f>
        <v>3.0305969063666779E-6</v>
      </c>
    </row>
    <row r="316" spans="1:5" x14ac:dyDescent="0.6">
      <c r="A316" s="30" t="s">
        <v>286</v>
      </c>
      <c r="B316" s="30" t="s">
        <v>821</v>
      </c>
    </row>
    <row r="317" spans="1:5" x14ac:dyDescent="0.6">
      <c r="B317" s="30" t="s">
        <v>905</v>
      </c>
    </row>
    <row r="319" spans="1:5" x14ac:dyDescent="0.6">
      <c r="A319" s="30" t="s">
        <v>430</v>
      </c>
      <c r="B319" s="30" t="s">
        <v>822</v>
      </c>
    </row>
    <row r="320" spans="1:5" x14ac:dyDescent="0.6">
      <c r="A320" s="30" t="s">
        <v>432</v>
      </c>
      <c r="B320" s="30" t="s">
        <v>823</v>
      </c>
    </row>
    <row r="322" spans="1:3" x14ac:dyDescent="0.6">
      <c r="B322" s="30" t="s">
        <v>824</v>
      </c>
    </row>
    <row r="325" spans="1:3" ht="46.3" x14ac:dyDescent="1.2">
      <c r="A325" s="43" t="s">
        <v>449</v>
      </c>
      <c r="B325" s="43" t="s">
        <v>577</v>
      </c>
      <c r="C325" s="43"/>
    </row>
    <row r="326" spans="1:3" x14ac:dyDescent="0.6">
      <c r="B326" s="30" t="s">
        <v>825</v>
      </c>
    </row>
    <row r="327" spans="1:3" ht="26.15" x14ac:dyDescent="0.7">
      <c r="B327" s="1" t="s">
        <v>826</v>
      </c>
    </row>
    <row r="328" spans="1:3" ht="26.15" x14ac:dyDescent="0.7">
      <c r="B328" s="1" t="s">
        <v>827</v>
      </c>
    </row>
    <row r="329" spans="1:3" ht="26.15" x14ac:dyDescent="0.7">
      <c r="B329" s="1" t="s">
        <v>828</v>
      </c>
    </row>
    <row r="330" spans="1:3" ht="26.15" x14ac:dyDescent="0.7">
      <c r="B330" s="1" t="s">
        <v>829</v>
      </c>
    </row>
    <row r="332" spans="1:3" ht="28.3" x14ac:dyDescent="0.75">
      <c r="B332" s="86" t="s">
        <v>830</v>
      </c>
    </row>
    <row r="333" spans="1:3" x14ac:dyDescent="0.6">
      <c r="B333" s="30" t="s">
        <v>831</v>
      </c>
    </row>
    <row r="334" spans="1:3" ht="28.3" x14ac:dyDescent="0.75">
      <c r="B334" s="86" t="s">
        <v>832</v>
      </c>
    </row>
    <row r="336" spans="1:3" ht="28.3" x14ac:dyDescent="0.75">
      <c r="B336" s="86" t="s">
        <v>833</v>
      </c>
    </row>
    <row r="337" spans="1:2" ht="28.3" x14ac:dyDescent="0.75">
      <c r="B337" s="86" t="s">
        <v>834</v>
      </c>
    </row>
    <row r="338" spans="1:2" x14ac:dyDescent="0.6">
      <c r="B338" s="30" t="s">
        <v>835</v>
      </c>
    </row>
    <row r="339" spans="1:2" ht="28.3" x14ac:dyDescent="0.75">
      <c r="B339" s="86" t="s">
        <v>836</v>
      </c>
    </row>
    <row r="341" spans="1:2" x14ac:dyDescent="0.6">
      <c r="B341" s="30" t="s">
        <v>837</v>
      </c>
    </row>
    <row r="342" spans="1:2" x14ac:dyDescent="0.6">
      <c r="B342" s="30" t="s">
        <v>838</v>
      </c>
    </row>
    <row r="343" spans="1:2" x14ac:dyDescent="0.6">
      <c r="B343" s="30" t="s">
        <v>839</v>
      </c>
    </row>
    <row r="345" spans="1:2" x14ac:dyDescent="0.6">
      <c r="B345" s="30" t="s">
        <v>840</v>
      </c>
    </row>
    <row r="346" spans="1:2" x14ac:dyDescent="0.6">
      <c r="B346" s="30" t="s">
        <v>841</v>
      </c>
    </row>
    <row r="347" spans="1:2" x14ac:dyDescent="0.6">
      <c r="B347" s="30" t="s">
        <v>842</v>
      </c>
    </row>
    <row r="348" spans="1:2" x14ac:dyDescent="0.6">
      <c r="B348" s="30" t="s">
        <v>843</v>
      </c>
    </row>
    <row r="350" spans="1:2" ht="28.3" x14ac:dyDescent="0.75">
      <c r="A350" s="86">
        <v>2</v>
      </c>
      <c r="B350" s="86" t="s">
        <v>844</v>
      </c>
    </row>
    <row r="351" spans="1:2" ht="28.3" x14ac:dyDescent="0.75">
      <c r="B351" s="86" t="s">
        <v>845</v>
      </c>
    </row>
    <row r="352" spans="1:2" ht="28.3" x14ac:dyDescent="0.75">
      <c r="B352" s="86" t="s">
        <v>846</v>
      </c>
    </row>
    <row r="353" spans="1:6" ht="28.3" x14ac:dyDescent="0.75">
      <c r="B353" s="86" t="s">
        <v>847</v>
      </c>
    </row>
    <row r="354" spans="1:6" ht="28.3" x14ac:dyDescent="0.75">
      <c r="B354" s="86" t="s">
        <v>848</v>
      </c>
    </row>
    <row r="355" spans="1:6" ht="28.3" x14ac:dyDescent="0.75">
      <c r="B355" s="86" t="s">
        <v>849</v>
      </c>
    </row>
    <row r="356" spans="1:6" ht="28.3" x14ac:dyDescent="0.75">
      <c r="B356" s="86" t="s">
        <v>850</v>
      </c>
    </row>
    <row r="358" spans="1:6" ht="28.3" x14ac:dyDescent="0.75">
      <c r="A358" s="86">
        <v>3</v>
      </c>
      <c r="B358" s="86" t="s">
        <v>851</v>
      </c>
    </row>
    <row r="359" spans="1:6" ht="28.3" x14ac:dyDescent="0.75">
      <c r="B359" s="86" t="s">
        <v>852</v>
      </c>
    </row>
    <row r="360" spans="1:6" ht="28.3" x14ac:dyDescent="0.75">
      <c r="B360" s="86" t="s">
        <v>853</v>
      </c>
    </row>
    <row r="361" spans="1:6" ht="28.3" x14ac:dyDescent="0.75">
      <c r="A361" s="86" t="s">
        <v>854</v>
      </c>
      <c r="B361" s="122" t="s">
        <v>855</v>
      </c>
      <c r="C361" s="123"/>
    </row>
    <row r="362" spans="1:6" ht="28.3" x14ac:dyDescent="0.75">
      <c r="A362" s="86"/>
      <c r="B362" s="121" t="s">
        <v>856</v>
      </c>
      <c r="C362" s="121" t="s">
        <v>857</v>
      </c>
      <c r="E362" s="30" t="s">
        <v>858</v>
      </c>
    </row>
    <row r="363" spans="1:6" ht="28.3" x14ac:dyDescent="0.75">
      <c r="A363" s="86"/>
      <c r="B363" s="121">
        <v>1</v>
      </c>
      <c r="C363" s="121">
        <f>1/6</f>
        <v>0.16666666666666666</v>
      </c>
      <c r="E363" s="121" t="s">
        <v>856</v>
      </c>
      <c r="F363" s="121" t="s">
        <v>857</v>
      </c>
    </row>
    <row r="364" spans="1:6" ht="28.3" x14ac:dyDescent="0.75">
      <c r="A364" s="86"/>
      <c r="B364" s="121">
        <v>2</v>
      </c>
      <c r="C364" s="121">
        <f t="shared" ref="C364:C368" si="3">1/6</f>
        <v>0.16666666666666666</v>
      </c>
      <c r="E364" s="121">
        <v>0</v>
      </c>
      <c r="F364" s="121">
        <v>0.5</v>
      </c>
    </row>
    <row r="365" spans="1:6" ht="28.3" x14ac:dyDescent="0.75">
      <c r="A365" s="86"/>
      <c r="B365" s="121">
        <v>3</v>
      </c>
      <c r="C365" s="121">
        <f t="shared" si="3"/>
        <v>0.16666666666666666</v>
      </c>
      <c r="E365" s="121">
        <v>1</v>
      </c>
      <c r="F365" s="121">
        <v>0.5</v>
      </c>
    </row>
    <row r="366" spans="1:6" ht="28.3" x14ac:dyDescent="0.75">
      <c r="A366" s="86"/>
      <c r="B366" s="121">
        <v>4</v>
      </c>
      <c r="C366" s="121">
        <f t="shared" si="3"/>
        <v>0.16666666666666666</v>
      </c>
      <c r="F366" s="124">
        <f>SUM(F364:F365)</f>
        <v>1</v>
      </c>
    </row>
    <row r="367" spans="1:6" ht="28.3" x14ac:dyDescent="0.75">
      <c r="A367" s="86"/>
      <c r="B367" s="121">
        <v>5</v>
      </c>
      <c r="C367" s="121">
        <f t="shared" si="3"/>
        <v>0.16666666666666666</v>
      </c>
      <c r="E367" s="30" t="s">
        <v>859</v>
      </c>
    </row>
    <row r="368" spans="1:6" ht="28.3" x14ac:dyDescent="0.75">
      <c r="A368" s="86"/>
      <c r="B368" s="121">
        <v>6</v>
      </c>
      <c r="C368" s="121">
        <f t="shared" si="3"/>
        <v>0.16666666666666666</v>
      </c>
    </row>
    <row r="369" spans="1:9" ht="28.3" x14ac:dyDescent="0.75">
      <c r="A369"/>
      <c r="B369"/>
      <c r="C369" s="124">
        <f>SUM(C363:C368)</f>
        <v>0.99999999999999989</v>
      </c>
    </row>
    <row r="370" spans="1:9" ht="26.15" x14ac:dyDescent="0.7">
      <c r="B370" s="1" t="s">
        <v>860</v>
      </c>
    </row>
    <row r="371" spans="1:9" ht="28.3" x14ac:dyDescent="0.75">
      <c r="B371" s="86" t="s">
        <v>861</v>
      </c>
    </row>
    <row r="372" spans="1:9" ht="28.3" x14ac:dyDescent="0.75">
      <c r="B372" s="86" t="s">
        <v>862</v>
      </c>
    </row>
    <row r="373" spans="1:9" ht="28.3" x14ac:dyDescent="0.75">
      <c r="B373" s="86" t="s">
        <v>863</v>
      </c>
    </row>
    <row r="374" spans="1:9" ht="28.3" x14ac:dyDescent="0.75">
      <c r="B374" s="86" t="s">
        <v>864</v>
      </c>
    </row>
    <row r="375" spans="1:9" ht="28.3" x14ac:dyDescent="0.75">
      <c r="B375" s="86" t="s">
        <v>865</v>
      </c>
    </row>
    <row r="376" spans="1:9" ht="28.3" x14ac:dyDescent="0.75">
      <c r="B376" s="86" t="s">
        <v>866</v>
      </c>
    </row>
    <row r="377" spans="1:9" ht="28.3" x14ac:dyDescent="0.75">
      <c r="B377" s="86" t="s">
        <v>867</v>
      </c>
    </row>
    <row r="378" spans="1:9" ht="28.3" x14ac:dyDescent="0.75">
      <c r="B378" s="86" t="s">
        <v>868</v>
      </c>
    </row>
    <row r="381" spans="1:9" x14ac:dyDescent="0.6">
      <c r="I381" s="30" t="s">
        <v>857</v>
      </c>
    </row>
    <row r="388" spans="2:17" x14ac:dyDescent="0.6">
      <c r="Q388" s="30" t="s">
        <v>856</v>
      </c>
    </row>
    <row r="389" spans="2:17" ht="26.15" x14ac:dyDescent="0.7">
      <c r="B389" s="1" t="s">
        <v>869</v>
      </c>
    </row>
    <row r="391" spans="2:17" x14ac:dyDescent="0.6">
      <c r="B391" s="30" t="s">
        <v>870</v>
      </c>
    </row>
    <row r="393" spans="2:17" ht="26.15" x14ac:dyDescent="0.7">
      <c r="B393" s="1" t="s">
        <v>871</v>
      </c>
    </row>
    <row r="394" spans="2:17" x14ac:dyDescent="0.6">
      <c r="B394" s="30" t="s">
        <v>872</v>
      </c>
    </row>
    <row r="395" spans="2:17" x14ac:dyDescent="0.6">
      <c r="B395" s="30" t="s">
        <v>873</v>
      </c>
    </row>
    <row r="398" spans="2:17" x14ac:dyDescent="0.6">
      <c r="B398" s="30" t="s">
        <v>874</v>
      </c>
    </row>
    <row r="399" spans="2:17" ht="35.6" x14ac:dyDescent="0.9">
      <c r="B399" s="74" t="s">
        <v>875</v>
      </c>
    </row>
    <row r="400" spans="2:17" ht="26.15" x14ac:dyDescent="0.7">
      <c r="B400" s="1" t="s">
        <v>876</v>
      </c>
      <c r="C400"/>
    </row>
    <row r="401" spans="1:3" ht="28.3" x14ac:dyDescent="0.75">
      <c r="B401" s="121" t="s">
        <v>856</v>
      </c>
      <c r="C401" s="121" t="s">
        <v>857</v>
      </c>
    </row>
    <row r="402" spans="1:3" ht="28.3" x14ac:dyDescent="0.75">
      <c r="B402" s="121">
        <v>1</v>
      </c>
      <c r="C402" s="121">
        <f>1/6</f>
        <v>0.16666666666666666</v>
      </c>
    </row>
    <row r="403" spans="1:3" ht="28.3" x14ac:dyDescent="0.75">
      <c r="B403" s="121">
        <v>2</v>
      </c>
      <c r="C403" s="121">
        <f t="shared" ref="C403:C407" si="4">1/6</f>
        <v>0.16666666666666666</v>
      </c>
    </row>
    <row r="404" spans="1:3" ht="28.3" x14ac:dyDescent="0.75">
      <c r="B404" s="121">
        <v>3</v>
      </c>
      <c r="C404" s="121">
        <f t="shared" si="4"/>
        <v>0.16666666666666666</v>
      </c>
    </row>
    <row r="405" spans="1:3" ht="28.3" x14ac:dyDescent="0.75">
      <c r="B405" s="121">
        <v>4</v>
      </c>
      <c r="C405" s="121">
        <f t="shared" si="4"/>
        <v>0.16666666666666666</v>
      </c>
    </row>
    <row r="406" spans="1:3" ht="28.3" x14ac:dyDescent="0.75">
      <c r="B406" s="121">
        <v>5</v>
      </c>
      <c r="C406" s="121">
        <f t="shared" si="4"/>
        <v>0.16666666666666666</v>
      </c>
    </row>
    <row r="407" spans="1:3" ht="28.3" x14ac:dyDescent="0.75">
      <c r="B407" s="121">
        <v>6</v>
      </c>
      <c r="C407" s="121">
        <f t="shared" si="4"/>
        <v>0.16666666666666666</v>
      </c>
    </row>
    <row r="408" spans="1:3" ht="28.3" x14ac:dyDescent="0.75">
      <c r="B408"/>
      <c r="C408" s="124">
        <f>SUM(C402:C407)</f>
        <v>0.99999999999999989</v>
      </c>
    </row>
    <row r="409" spans="1:3" ht="26.15" x14ac:dyDescent="0.7">
      <c r="B409" s="1" t="s">
        <v>877</v>
      </c>
    </row>
    <row r="410" spans="1:3" ht="26.15" x14ac:dyDescent="0.7">
      <c r="A410" s="30" t="s">
        <v>430</v>
      </c>
      <c r="B410" s="1" t="s">
        <v>878</v>
      </c>
    </row>
    <row r="411" spans="1:3" ht="26.15" x14ac:dyDescent="0.7">
      <c r="A411" s="30" t="s">
        <v>432</v>
      </c>
      <c r="B411" s="1" t="s">
        <v>879</v>
      </c>
    </row>
    <row r="412" spans="1:3" ht="26.15" x14ac:dyDescent="0.7">
      <c r="A412" s="30" t="s">
        <v>435</v>
      </c>
      <c r="B412" s="1" t="s">
        <v>880</v>
      </c>
    </row>
    <row r="413" spans="1:3" ht="26.15" x14ac:dyDescent="0.7">
      <c r="A413" s="30" t="s">
        <v>665</v>
      </c>
      <c r="B413" s="1" t="s">
        <v>881</v>
      </c>
    </row>
    <row r="414" spans="1:3" ht="26.15" x14ac:dyDescent="0.7">
      <c r="B414" s="1" t="s">
        <v>882</v>
      </c>
    </row>
    <row r="415" spans="1:3" ht="26.15" x14ac:dyDescent="0.7">
      <c r="B415" s="1" t="s">
        <v>883</v>
      </c>
    </row>
    <row r="417" spans="2:3" ht="26.15" x14ac:dyDescent="0.7">
      <c r="B417" s="1" t="s">
        <v>884</v>
      </c>
    </row>
    <row r="418" spans="2:3" ht="26.15" x14ac:dyDescent="0.7">
      <c r="B418" s="1" t="s">
        <v>885</v>
      </c>
    </row>
    <row r="419" spans="2:3" ht="26.15" x14ac:dyDescent="0.7">
      <c r="B419" s="1" t="s">
        <v>886</v>
      </c>
    </row>
    <row r="420" spans="2:3" ht="26.15" x14ac:dyDescent="0.7">
      <c r="B420" s="1" t="s">
        <v>887</v>
      </c>
    </row>
    <row r="421" spans="2:3" ht="26.15" x14ac:dyDescent="0.7">
      <c r="B421" s="1" t="s">
        <v>888</v>
      </c>
    </row>
    <row r="422" spans="2:3" x14ac:dyDescent="0.6">
      <c r="B422" s="30" t="s">
        <v>889</v>
      </c>
    </row>
    <row r="424" spans="2:3" x14ac:dyDescent="0.6">
      <c r="B424" s="237" t="s">
        <v>890</v>
      </c>
      <c r="C424" s="238"/>
    </row>
    <row r="425" spans="2:3" x14ac:dyDescent="0.6">
      <c r="B425" s="37" t="s">
        <v>891</v>
      </c>
      <c r="C425" s="37" t="s">
        <v>892</v>
      </c>
    </row>
    <row r="426" spans="2:3" x14ac:dyDescent="0.6">
      <c r="B426" s="125" t="s">
        <v>893</v>
      </c>
      <c r="C426" s="125" t="s">
        <v>894</v>
      </c>
    </row>
    <row r="427" spans="2:3" x14ac:dyDescent="0.6">
      <c r="B427" s="37" t="s">
        <v>895</v>
      </c>
      <c r="C427" s="125" t="s">
        <v>896</v>
      </c>
    </row>
    <row r="428" spans="2:3" x14ac:dyDescent="0.6">
      <c r="B428" s="125" t="s">
        <v>897</v>
      </c>
      <c r="C428" s="37" t="s">
        <v>898</v>
      </c>
    </row>
    <row r="429" spans="2:3" x14ac:dyDescent="0.6">
      <c r="B429" s="37" t="s">
        <v>899</v>
      </c>
      <c r="C429" s="37" t="s">
        <v>900</v>
      </c>
    </row>
    <row r="431" spans="2:3" ht="26.15" x14ac:dyDescent="0.7">
      <c r="B431" s="1" t="s">
        <v>901</v>
      </c>
    </row>
    <row r="432" spans="2:3" ht="26.15" x14ac:dyDescent="0.7">
      <c r="B432" s="1" t="s">
        <v>902</v>
      </c>
    </row>
    <row r="433" spans="1:5" ht="26.15" x14ac:dyDescent="0.7">
      <c r="B433" s="1" t="s">
        <v>903</v>
      </c>
    </row>
    <row r="434" spans="1:5" ht="26.15" x14ac:dyDescent="0.7">
      <c r="B434" s="1"/>
    </row>
    <row r="435" spans="1:5" x14ac:dyDescent="0.6">
      <c r="B435" s="59">
        <v>44790</v>
      </c>
    </row>
    <row r="436" spans="1:5" ht="35.6" x14ac:dyDescent="0.9">
      <c r="A436" s="74">
        <v>4</v>
      </c>
      <c r="B436" s="74" t="s">
        <v>906</v>
      </c>
    </row>
    <row r="437" spans="1:5" ht="35.6" x14ac:dyDescent="0.9">
      <c r="A437" s="74"/>
      <c r="B437" s="74" t="s">
        <v>907</v>
      </c>
    </row>
    <row r="438" spans="1:5" ht="26.15" x14ac:dyDescent="0.7">
      <c r="B438" s="1" t="s">
        <v>908</v>
      </c>
    </row>
    <row r="439" spans="1:5" ht="26.15" x14ac:dyDescent="0.7">
      <c r="B439" s="1" t="s">
        <v>909</v>
      </c>
    </row>
    <row r="441" spans="1:5" ht="26.15" x14ac:dyDescent="0.7">
      <c r="B441" s="1" t="s">
        <v>910</v>
      </c>
    </row>
    <row r="442" spans="1:5" ht="26.15" x14ac:dyDescent="0.7">
      <c r="B442" s="1" t="s">
        <v>911</v>
      </c>
    </row>
    <row r="444" spans="1:5" ht="28.3" x14ac:dyDescent="0.75">
      <c r="B444" s="121" t="s">
        <v>856</v>
      </c>
      <c r="C444" s="121" t="s">
        <v>857</v>
      </c>
      <c r="D444" s="121" t="s">
        <v>912</v>
      </c>
      <c r="E444" s="121" t="s">
        <v>913</v>
      </c>
    </row>
    <row r="445" spans="1:5" ht="28.3" x14ac:dyDescent="0.75">
      <c r="B445" s="121">
        <v>1</v>
      </c>
      <c r="C445" s="121">
        <f>1/6</f>
        <v>0.16666666666666666</v>
      </c>
      <c r="D445" s="121">
        <f>C445*B445</f>
        <v>0.16666666666666666</v>
      </c>
      <c r="E445" s="121">
        <f>C445*(B445-$C$453)^2</f>
        <v>1.0416666666666665</v>
      </c>
    </row>
    <row r="446" spans="1:5" ht="28.3" x14ac:dyDescent="0.75">
      <c r="B446" s="121">
        <v>2</v>
      </c>
      <c r="C446" s="121">
        <f t="shared" ref="C446:C450" si="5">1/6</f>
        <v>0.16666666666666666</v>
      </c>
      <c r="D446" s="121">
        <f t="shared" ref="D446:D450" si="6">C446*B446</f>
        <v>0.33333333333333331</v>
      </c>
      <c r="E446" s="121">
        <f t="shared" ref="E446:E450" si="7">C446*(B446-$C$453)^2</f>
        <v>0.375</v>
      </c>
    </row>
    <row r="447" spans="1:5" ht="28.3" x14ac:dyDescent="0.75">
      <c r="B447" s="121">
        <v>3</v>
      </c>
      <c r="C447" s="121">
        <f t="shared" si="5"/>
        <v>0.16666666666666666</v>
      </c>
      <c r="D447" s="121">
        <f t="shared" si="6"/>
        <v>0.5</v>
      </c>
      <c r="E447" s="121">
        <f t="shared" si="7"/>
        <v>4.1666666666666664E-2</v>
      </c>
    </row>
    <row r="448" spans="1:5" ht="28.3" x14ac:dyDescent="0.75">
      <c r="B448" s="121">
        <v>4</v>
      </c>
      <c r="C448" s="121">
        <f t="shared" si="5"/>
        <v>0.16666666666666666</v>
      </c>
      <c r="D448" s="121">
        <f t="shared" si="6"/>
        <v>0.66666666666666663</v>
      </c>
      <c r="E448" s="121">
        <f t="shared" si="7"/>
        <v>4.1666666666666664E-2</v>
      </c>
    </row>
    <row r="449" spans="1:6" ht="28.3" x14ac:dyDescent="0.75">
      <c r="B449" s="121">
        <v>5</v>
      </c>
      <c r="C449" s="121">
        <f t="shared" si="5"/>
        <v>0.16666666666666666</v>
      </c>
      <c r="D449" s="121">
        <f t="shared" si="6"/>
        <v>0.83333333333333326</v>
      </c>
      <c r="E449" s="121">
        <f t="shared" si="7"/>
        <v>0.375</v>
      </c>
    </row>
    <row r="450" spans="1:6" ht="28.3" x14ac:dyDescent="0.75">
      <c r="B450" s="121">
        <v>6</v>
      </c>
      <c r="C450" s="121">
        <f t="shared" si="5"/>
        <v>0.16666666666666666</v>
      </c>
      <c r="D450" s="121">
        <f t="shared" si="6"/>
        <v>1</v>
      </c>
      <c r="E450" s="121">
        <f t="shared" si="7"/>
        <v>1.0416666666666665</v>
      </c>
    </row>
    <row r="451" spans="1:6" ht="28.3" x14ac:dyDescent="0.75">
      <c r="C451" s="124">
        <f>SUM(C445:C450)</f>
        <v>0.99999999999999989</v>
      </c>
      <c r="D451" s="124">
        <f>SUM(D445:D450)</f>
        <v>3.5</v>
      </c>
      <c r="E451" s="124">
        <f>SUM(E445:E450)</f>
        <v>2.9166666666666665</v>
      </c>
    </row>
    <row r="453" spans="1:6" ht="57" customHeight="1" x14ac:dyDescent="0.75">
      <c r="B453" s="126" t="s">
        <v>914</v>
      </c>
      <c r="C453" s="126">
        <f>D451</f>
        <v>3.5</v>
      </c>
    </row>
    <row r="454" spans="1:6" ht="28.3" x14ac:dyDescent="0.75">
      <c r="B454" s="124" t="s">
        <v>915</v>
      </c>
      <c r="C454" s="126">
        <f>E451/C451</f>
        <v>2.916666666666667</v>
      </c>
    </row>
    <row r="455" spans="1:6" ht="28.3" x14ac:dyDescent="0.75">
      <c r="B455" s="124" t="s">
        <v>916</v>
      </c>
      <c r="C455" s="126">
        <f>SQRT(C454)</f>
        <v>1.7078251276599332</v>
      </c>
    </row>
    <row r="457" spans="1:6" x14ac:dyDescent="0.6">
      <c r="A457" s="30" t="s">
        <v>67</v>
      </c>
      <c r="B457" s="37" t="s">
        <v>69</v>
      </c>
      <c r="C457" s="37" t="s">
        <v>917</v>
      </c>
      <c r="D457" s="37" t="s">
        <v>575</v>
      </c>
    </row>
    <row r="458" spans="1:6" x14ac:dyDescent="0.6">
      <c r="B458" s="37"/>
      <c r="C458" s="37" t="s">
        <v>856</v>
      </c>
      <c r="D458" s="37" t="s">
        <v>857</v>
      </c>
      <c r="E458" s="31" t="s">
        <v>912</v>
      </c>
      <c r="F458" s="31" t="s">
        <v>918</v>
      </c>
    </row>
    <row r="459" spans="1:6" x14ac:dyDescent="0.6">
      <c r="B459" s="37" t="s">
        <v>72</v>
      </c>
      <c r="C459" s="60">
        <v>0.12</v>
      </c>
      <c r="D459" s="60">
        <v>0.25</v>
      </c>
      <c r="E459" s="127">
        <f>D459*C459</f>
        <v>0.03</v>
      </c>
      <c r="F459" s="37">
        <f>D459*(C459-$C$467)^2</f>
        <v>4.2024999999999962E-4</v>
      </c>
    </row>
    <row r="460" spans="1:6" x14ac:dyDescent="0.6">
      <c r="B460" s="37" t="s">
        <v>919</v>
      </c>
      <c r="C460" s="60">
        <v>0.08</v>
      </c>
      <c r="D460" s="60">
        <v>0.55000000000000004</v>
      </c>
      <c r="E460" s="127">
        <f t="shared" ref="E460:E462" si="8">D460*C460</f>
        <v>4.4000000000000004E-2</v>
      </c>
      <c r="F460" s="37">
        <f t="shared" ref="F460:F462" si="9">D460*(C460-$C$467)^2</f>
        <v>5.4999999999998584E-7</v>
      </c>
    </row>
    <row r="461" spans="1:6" x14ac:dyDescent="0.6">
      <c r="B461" s="37" t="s">
        <v>74</v>
      </c>
      <c r="C461" s="60">
        <v>0.04</v>
      </c>
      <c r="D461" s="60">
        <v>0.15</v>
      </c>
      <c r="E461" s="127">
        <f t="shared" si="8"/>
        <v>6.0000000000000001E-3</v>
      </c>
      <c r="F461" s="37">
        <f t="shared" si="9"/>
        <v>2.2815000000000015E-4</v>
      </c>
    </row>
    <row r="462" spans="1:6" x14ac:dyDescent="0.6">
      <c r="B462" s="37" t="s">
        <v>75</v>
      </c>
      <c r="C462" s="60">
        <v>-0.02</v>
      </c>
      <c r="D462" s="60">
        <v>0.05</v>
      </c>
      <c r="E462" s="127">
        <f t="shared" si="8"/>
        <v>-1E-3</v>
      </c>
      <c r="F462" s="37">
        <f t="shared" si="9"/>
        <v>4.9005000000000023E-4</v>
      </c>
    </row>
    <row r="463" spans="1:6" ht="28.3" x14ac:dyDescent="0.75">
      <c r="D463" s="128">
        <f>SUM(D459:D462)</f>
        <v>1</v>
      </c>
      <c r="E463" s="129">
        <f t="shared" ref="E463:F463" si="10">SUM(E459:E462)</f>
        <v>7.9000000000000015E-2</v>
      </c>
      <c r="F463" s="130">
        <f t="shared" si="10"/>
        <v>1.1389999999999998E-3</v>
      </c>
    </row>
    <row r="465" spans="1:5" x14ac:dyDescent="0.6">
      <c r="A465" s="30" t="s">
        <v>301</v>
      </c>
      <c r="B465" s="30" t="s">
        <v>920</v>
      </c>
    </row>
    <row r="467" spans="1:5" ht="64.849999999999994" customHeight="1" x14ac:dyDescent="0.75">
      <c r="B467" s="126" t="s">
        <v>914</v>
      </c>
      <c r="C467" s="129">
        <f>E463</f>
        <v>7.9000000000000015E-2</v>
      </c>
    </row>
    <row r="468" spans="1:5" ht="28.3" x14ac:dyDescent="0.75">
      <c r="B468" s="124" t="s">
        <v>915</v>
      </c>
      <c r="C468" s="131">
        <f>F463</f>
        <v>1.1389999999999998E-3</v>
      </c>
    </row>
    <row r="469" spans="1:5" ht="28.3" x14ac:dyDescent="0.75">
      <c r="B469" s="124" t="s">
        <v>916</v>
      </c>
      <c r="C469" s="132">
        <f>SQRT(C468)</f>
        <v>3.3749074061372404E-2</v>
      </c>
    </row>
    <row r="471" spans="1:5" ht="26.15" x14ac:dyDescent="0.7">
      <c r="A471" s="30" t="s">
        <v>286</v>
      </c>
      <c r="B471" s="1" t="s">
        <v>921</v>
      </c>
    </row>
    <row r="472" spans="1:5" ht="26.15" x14ac:dyDescent="0.7">
      <c r="B472" s="1" t="s">
        <v>922</v>
      </c>
    </row>
    <row r="473" spans="1:5" ht="26.15" x14ac:dyDescent="0.7">
      <c r="B473" s="1"/>
    </row>
    <row r="474" spans="1:5" ht="26.15" x14ac:dyDescent="0.7">
      <c r="B474" s="1" t="s">
        <v>923</v>
      </c>
    </row>
    <row r="475" spans="1:5" ht="28.3" x14ac:dyDescent="0.75">
      <c r="B475" s="121" t="s">
        <v>856</v>
      </c>
      <c r="C475" s="121" t="s">
        <v>857</v>
      </c>
      <c r="D475" s="121" t="s">
        <v>912</v>
      </c>
      <c r="E475" s="121" t="s">
        <v>913</v>
      </c>
    </row>
    <row r="476" spans="1:5" ht="28.3" x14ac:dyDescent="0.75">
      <c r="B476" s="121">
        <v>2</v>
      </c>
      <c r="C476" s="151">
        <f>1/36</f>
        <v>2.7777777777777776E-2</v>
      </c>
      <c r="D476" s="121">
        <f>B476*C476</f>
        <v>5.5555555555555552E-2</v>
      </c>
      <c r="E476" s="121">
        <f>C476*(B476-$D$489)^2</f>
        <v>0.6944444444444442</v>
      </c>
    </row>
    <row r="477" spans="1:5" ht="28.3" x14ac:dyDescent="0.75">
      <c r="B477" s="121">
        <v>3</v>
      </c>
      <c r="C477" s="151">
        <f>2/36</f>
        <v>5.5555555555555552E-2</v>
      </c>
      <c r="D477" s="121">
        <f t="shared" ref="D477:D486" si="11">B477*C477</f>
        <v>0.16666666666666666</v>
      </c>
      <c r="E477" s="121">
        <f t="shared" ref="E477:E486" si="12">C477*(B477-$D$489)^2</f>
        <v>0.8888888888888884</v>
      </c>
    </row>
    <row r="478" spans="1:5" ht="28.3" x14ac:dyDescent="0.75">
      <c r="B478" s="121">
        <v>4</v>
      </c>
      <c r="C478" s="151">
        <f>3/36</f>
        <v>8.3333333333333329E-2</v>
      </c>
      <c r="D478" s="121">
        <f t="shared" si="11"/>
        <v>0.33333333333333331</v>
      </c>
      <c r="E478" s="121">
        <f t="shared" si="12"/>
        <v>0.74999999999999956</v>
      </c>
    </row>
    <row r="479" spans="1:5" ht="28.3" x14ac:dyDescent="0.75">
      <c r="B479" s="121">
        <v>5</v>
      </c>
      <c r="C479" s="151">
        <f>4/36</f>
        <v>0.1111111111111111</v>
      </c>
      <c r="D479" s="121">
        <f t="shared" si="11"/>
        <v>0.55555555555555558</v>
      </c>
      <c r="E479" s="121">
        <f t="shared" si="12"/>
        <v>0.44444444444444403</v>
      </c>
    </row>
    <row r="480" spans="1:5" ht="28.3" x14ac:dyDescent="0.75">
      <c r="B480" s="121">
        <v>6</v>
      </c>
      <c r="C480" s="151">
        <f>5/36</f>
        <v>0.1388888888888889</v>
      </c>
      <c r="D480" s="121">
        <f t="shared" si="11"/>
        <v>0.83333333333333337</v>
      </c>
      <c r="E480" s="121">
        <f t="shared" si="12"/>
        <v>0.13888888888888865</v>
      </c>
    </row>
    <row r="481" spans="1:5" ht="28.3" x14ac:dyDescent="0.75">
      <c r="B481" s="121">
        <v>7</v>
      </c>
      <c r="C481" s="151">
        <f>6/36</f>
        <v>0.16666666666666666</v>
      </c>
      <c r="D481" s="121">
        <f t="shared" si="11"/>
        <v>1.1666666666666665</v>
      </c>
      <c r="E481" s="121">
        <f t="shared" si="12"/>
        <v>1.3147681753683529E-31</v>
      </c>
    </row>
    <row r="482" spans="1:5" ht="28.3" x14ac:dyDescent="0.75">
      <c r="B482" s="121">
        <v>8</v>
      </c>
      <c r="C482" s="151">
        <f>5/36</f>
        <v>0.1388888888888889</v>
      </c>
      <c r="D482" s="121">
        <f t="shared" si="11"/>
        <v>1.1111111111111112</v>
      </c>
      <c r="E482" s="121">
        <f t="shared" si="12"/>
        <v>0.13888888888888914</v>
      </c>
    </row>
    <row r="483" spans="1:5" ht="28.3" x14ac:dyDescent="0.75">
      <c r="B483" s="121">
        <v>9</v>
      </c>
      <c r="C483" s="151">
        <f>4/36</f>
        <v>0.1111111111111111</v>
      </c>
      <c r="D483" s="121">
        <f t="shared" si="11"/>
        <v>1</v>
      </c>
      <c r="E483" s="121">
        <f t="shared" si="12"/>
        <v>0.44444444444444481</v>
      </c>
    </row>
    <row r="484" spans="1:5" ht="28.3" x14ac:dyDescent="0.75">
      <c r="B484" s="121">
        <v>10</v>
      </c>
      <c r="C484" s="151">
        <f>3/36</f>
        <v>8.3333333333333329E-2</v>
      </c>
      <c r="D484" s="121">
        <f t="shared" si="11"/>
        <v>0.83333333333333326</v>
      </c>
      <c r="E484" s="121">
        <f t="shared" si="12"/>
        <v>0.75000000000000044</v>
      </c>
    </row>
    <row r="485" spans="1:5" ht="28.3" x14ac:dyDescent="0.75">
      <c r="B485" s="121">
        <v>11</v>
      </c>
      <c r="C485" s="151">
        <f>2/36</f>
        <v>5.5555555555555552E-2</v>
      </c>
      <c r="D485" s="121">
        <f t="shared" si="11"/>
        <v>0.61111111111111105</v>
      </c>
      <c r="E485" s="121">
        <f t="shared" si="12"/>
        <v>0.88888888888888928</v>
      </c>
    </row>
    <row r="486" spans="1:5" ht="28.3" x14ac:dyDescent="0.75">
      <c r="B486" s="121">
        <v>12</v>
      </c>
      <c r="C486" s="151">
        <f>1/36</f>
        <v>2.7777777777777776E-2</v>
      </c>
      <c r="D486" s="121">
        <f t="shared" si="11"/>
        <v>0.33333333333333331</v>
      </c>
      <c r="E486" s="121">
        <f t="shared" si="12"/>
        <v>0.69444444444444464</v>
      </c>
    </row>
    <row r="487" spans="1:5" ht="28.3" x14ac:dyDescent="0.75">
      <c r="C487" s="133">
        <f>SUM(C476:C486)</f>
        <v>1.0000000000000002</v>
      </c>
      <c r="D487" s="124">
        <f>SUM(D476:D486)</f>
        <v>6.9999999999999991</v>
      </c>
      <c r="E487" s="124">
        <f>SUM(E476:E486)</f>
        <v>5.8333333333333339</v>
      </c>
    </row>
    <row r="489" spans="1:5" ht="28.3" x14ac:dyDescent="0.75">
      <c r="C489" s="126" t="s">
        <v>914</v>
      </c>
      <c r="D489" s="133">
        <f>D487</f>
        <v>6.9999999999999991</v>
      </c>
    </row>
    <row r="490" spans="1:5" ht="28.3" x14ac:dyDescent="0.75">
      <c r="C490" s="124" t="s">
        <v>915</v>
      </c>
      <c r="D490" s="133">
        <f>E487</f>
        <v>5.8333333333333339</v>
      </c>
    </row>
    <row r="491" spans="1:5" ht="28.3" x14ac:dyDescent="0.75">
      <c r="C491" s="124" t="s">
        <v>916</v>
      </c>
      <c r="D491" s="133">
        <f>SQRT(D490)</f>
        <v>2.4152294576982398</v>
      </c>
    </row>
    <row r="493" spans="1:5" ht="26.15" x14ac:dyDescent="0.7">
      <c r="A493" s="1" t="s">
        <v>67</v>
      </c>
      <c r="B493" s="1" t="s">
        <v>924</v>
      </c>
    </row>
    <row r="494" spans="1:5" ht="26.15" x14ac:dyDescent="0.7">
      <c r="A494" s="1"/>
      <c r="B494" s="1" t="s">
        <v>925</v>
      </c>
    </row>
    <row r="495" spans="1:5" ht="26.15" x14ac:dyDescent="0.7">
      <c r="A495" s="1"/>
      <c r="B495" s="1" t="s">
        <v>926</v>
      </c>
    </row>
    <row r="497" spans="1:5" x14ac:dyDescent="0.6">
      <c r="B497" s="30" t="s">
        <v>927</v>
      </c>
    </row>
    <row r="498" spans="1:5" x14ac:dyDescent="0.6">
      <c r="B498" s="30" t="s">
        <v>928</v>
      </c>
    </row>
    <row r="499" spans="1:5" ht="26.15" x14ac:dyDescent="0.7">
      <c r="B499" s="4" t="s">
        <v>856</v>
      </c>
      <c r="C499" s="4" t="s">
        <v>857</v>
      </c>
      <c r="D499" s="4" t="s">
        <v>912</v>
      </c>
      <c r="E499" s="4" t="s">
        <v>929</v>
      </c>
    </row>
    <row r="500" spans="1:5" ht="26.15" x14ac:dyDescent="0.7">
      <c r="B500" s="4">
        <v>1</v>
      </c>
      <c r="C500" s="11">
        <v>0.85</v>
      </c>
      <c r="D500" s="4">
        <f>B500*C500</f>
        <v>0.85</v>
      </c>
      <c r="E500" s="4">
        <f>C500*(B500-$E$504)^2</f>
        <v>0.30600000000000005</v>
      </c>
    </row>
    <row r="501" spans="1:5" ht="26.15" x14ac:dyDescent="0.7">
      <c r="B501" s="4">
        <v>5</v>
      </c>
      <c r="C501" s="11">
        <v>0.15</v>
      </c>
      <c r="D501" s="4">
        <f>B501*C501</f>
        <v>0.75</v>
      </c>
      <c r="E501" s="4">
        <f>C501*(B501-$E$504)^2</f>
        <v>1.7339999999999998</v>
      </c>
    </row>
    <row r="502" spans="1:5" ht="26.15" x14ac:dyDescent="0.7">
      <c r="B502" s="134"/>
      <c r="C502" s="135">
        <f>SUM(C500:C501)</f>
        <v>1</v>
      </c>
      <c r="D502" s="135">
        <f t="shared" ref="D502:E502" si="13">SUM(D500:D501)</f>
        <v>1.6</v>
      </c>
      <c r="E502" s="135">
        <f t="shared" si="13"/>
        <v>2.04</v>
      </c>
    </row>
    <row r="503" spans="1:5" x14ac:dyDescent="0.6">
      <c r="B503"/>
      <c r="C503"/>
      <c r="D503"/>
      <c r="E503"/>
    </row>
    <row r="504" spans="1:5" ht="46.3" x14ac:dyDescent="0.6">
      <c r="B504"/>
      <c r="C504"/>
      <c r="D504" s="125" t="s">
        <v>930</v>
      </c>
      <c r="E504" s="70">
        <f>D502</f>
        <v>1.6</v>
      </c>
    </row>
    <row r="505" spans="1:5" x14ac:dyDescent="0.6">
      <c r="B505"/>
      <c r="C505"/>
      <c r="D505" s="32" t="s">
        <v>931</v>
      </c>
      <c r="E505" s="70">
        <f>E502</f>
        <v>2.04</v>
      </c>
    </row>
    <row r="506" spans="1:5" x14ac:dyDescent="0.6">
      <c r="B506"/>
      <c r="C506"/>
      <c r="D506" s="32" t="s">
        <v>932</v>
      </c>
      <c r="E506" s="136">
        <f>SQRT(E505)</f>
        <v>1.42828568570857</v>
      </c>
    </row>
    <row r="509" spans="1:5" ht="26.15" x14ac:dyDescent="0.7">
      <c r="A509" s="1" t="s">
        <v>933</v>
      </c>
      <c r="B509" s="1" t="s">
        <v>1065</v>
      </c>
    </row>
    <row r="510" spans="1:5" ht="26.15" x14ac:dyDescent="0.7">
      <c r="A510" s="1"/>
      <c r="B510" s="1" t="s">
        <v>934</v>
      </c>
    </row>
    <row r="511" spans="1:5" ht="26.15" x14ac:dyDescent="0.7">
      <c r="A511" s="1"/>
      <c r="B511" s="1" t="s">
        <v>935</v>
      </c>
    </row>
    <row r="513" spans="2:5" ht="26.15" x14ac:dyDescent="0.7">
      <c r="B513" s="1" t="s">
        <v>936</v>
      </c>
    </row>
    <row r="514" spans="2:5" x14ac:dyDescent="0.6">
      <c r="B514" s="30" t="s">
        <v>937</v>
      </c>
    </row>
    <row r="515" spans="2:5" ht="26.15" x14ac:dyDescent="0.7">
      <c r="B515" s="1" t="s">
        <v>1066</v>
      </c>
      <c r="C515" s="1"/>
    </row>
    <row r="516" spans="2:5" ht="26.15" x14ac:dyDescent="0.7">
      <c r="B516" s="1" t="s">
        <v>938</v>
      </c>
      <c r="C516" s="1"/>
    </row>
    <row r="517" spans="2:5" ht="26.15" x14ac:dyDescent="0.7">
      <c r="B517" s="1" t="s">
        <v>1067</v>
      </c>
      <c r="C517" s="1"/>
    </row>
    <row r="518" spans="2:5" ht="26.15" x14ac:dyDescent="0.7">
      <c r="B518" s="1" t="s">
        <v>1068</v>
      </c>
      <c r="C518" s="1"/>
    </row>
    <row r="519" spans="2:5" ht="26.15" x14ac:dyDescent="0.7">
      <c r="B519" s="1" t="s">
        <v>939</v>
      </c>
      <c r="C519" s="1"/>
    </row>
    <row r="522" spans="2:5" x14ac:dyDescent="0.6">
      <c r="B522" s="30" t="s">
        <v>940</v>
      </c>
    </row>
    <row r="523" spans="2:5" x14ac:dyDescent="0.6">
      <c r="B523" s="30" t="s">
        <v>928</v>
      </c>
    </row>
    <row r="524" spans="2:5" ht="26.15" x14ac:dyDescent="0.7">
      <c r="B524" s="4" t="s">
        <v>856</v>
      </c>
      <c r="C524" s="4" t="s">
        <v>857</v>
      </c>
      <c r="D524" s="4" t="s">
        <v>912</v>
      </c>
      <c r="E524" s="4" t="s">
        <v>929</v>
      </c>
    </row>
    <row r="525" spans="2:5" ht="26.15" x14ac:dyDescent="0.7">
      <c r="B525" s="4">
        <v>30</v>
      </c>
      <c r="C525" s="4">
        <f>1/5</f>
        <v>0.2</v>
      </c>
      <c r="D525" s="4">
        <f>C525*B525</f>
        <v>6</v>
      </c>
      <c r="E525" s="4">
        <f>C525*(B525-$E$528)^2</f>
        <v>204.8</v>
      </c>
    </row>
    <row r="526" spans="2:5" ht="26.15" x14ac:dyDescent="0.7">
      <c r="B526" s="4">
        <v>-10</v>
      </c>
      <c r="C526" s="4">
        <f>1-C525</f>
        <v>0.8</v>
      </c>
      <c r="D526" s="4">
        <f>C526*B526</f>
        <v>-8</v>
      </c>
      <c r="E526" s="4">
        <f>C526*(B526-$E$528)^2</f>
        <v>51.2</v>
      </c>
    </row>
    <row r="527" spans="2:5" ht="26.15" x14ac:dyDescent="0.7">
      <c r="B527" s="1"/>
      <c r="C527" s="125">
        <f>SUM(C525:C526)</f>
        <v>1</v>
      </c>
      <c r="D527" s="125">
        <f t="shared" ref="D527:E527" si="14">SUM(D525:D526)</f>
        <v>-2</v>
      </c>
      <c r="E527" s="125">
        <f t="shared" si="14"/>
        <v>256</v>
      </c>
    </row>
    <row r="528" spans="2:5" ht="46.3" x14ac:dyDescent="0.6">
      <c r="D528" s="125" t="s">
        <v>930</v>
      </c>
      <c r="E528" s="69">
        <f>D527</f>
        <v>-2</v>
      </c>
    </row>
    <row r="529" spans="1:5" x14ac:dyDescent="0.6">
      <c r="D529" s="32" t="s">
        <v>931</v>
      </c>
      <c r="E529" s="69">
        <f>E527</f>
        <v>256</v>
      </c>
    </row>
    <row r="530" spans="1:5" x14ac:dyDescent="0.6">
      <c r="D530" s="32" t="s">
        <v>932</v>
      </c>
      <c r="E530" s="69">
        <f>SQRT(E529)</f>
        <v>16</v>
      </c>
    </row>
    <row r="533" spans="1:5" ht="26.15" x14ac:dyDescent="0.7">
      <c r="A533" s="1" t="s">
        <v>941</v>
      </c>
      <c r="B533" s="1" t="s">
        <v>942</v>
      </c>
    </row>
    <row r="534" spans="1:5" ht="26.15" x14ac:dyDescent="0.7">
      <c r="A534" s="1"/>
      <c r="B534" s="1" t="s">
        <v>943</v>
      </c>
    </row>
    <row r="535" spans="1:5" ht="26.15" x14ac:dyDescent="0.7">
      <c r="A535" s="1"/>
      <c r="B535" s="1" t="s">
        <v>944</v>
      </c>
    </row>
    <row r="536" spans="1:5" ht="26.15" x14ac:dyDescent="0.7">
      <c r="A536" s="1"/>
      <c r="B536" s="1" t="s">
        <v>945</v>
      </c>
    </row>
    <row r="537" spans="1:5" ht="26.15" x14ac:dyDescent="0.7">
      <c r="A537" s="1"/>
      <c r="B537" s="1" t="s">
        <v>946</v>
      </c>
    </row>
    <row r="538" spans="1:5" ht="26.15" x14ac:dyDescent="0.7">
      <c r="A538"/>
      <c r="B538" s="1" t="s">
        <v>947</v>
      </c>
    </row>
    <row r="540" spans="1:5" ht="26.15" x14ac:dyDescent="0.7">
      <c r="B540" s="1" t="s">
        <v>948</v>
      </c>
      <c r="C540" s="1"/>
    </row>
    <row r="541" spans="1:5" ht="26.15" x14ac:dyDescent="0.7">
      <c r="B541" s="1" t="s">
        <v>949</v>
      </c>
      <c r="C541" s="1" t="s">
        <v>950</v>
      </c>
    </row>
    <row r="542" spans="1:5" ht="26.15" x14ac:dyDescent="0.7">
      <c r="B542" s="1" t="s">
        <v>951</v>
      </c>
      <c r="C542" s="1" t="s">
        <v>952</v>
      </c>
    </row>
    <row r="543" spans="1:5" ht="26.15" x14ac:dyDescent="0.7">
      <c r="B543" s="1" t="s">
        <v>953</v>
      </c>
      <c r="C543" s="1" t="s">
        <v>954</v>
      </c>
    </row>
    <row r="544" spans="1:5" ht="26.15" x14ac:dyDescent="0.7">
      <c r="B544" s="1" t="s">
        <v>503</v>
      </c>
      <c r="C544" s="1" t="s">
        <v>955</v>
      </c>
    </row>
    <row r="546" spans="2:5" ht="26.15" x14ac:dyDescent="0.7">
      <c r="B546" s="1" t="s">
        <v>956</v>
      </c>
    </row>
    <row r="547" spans="2:5" ht="26.15" x14ac:dyDescent="0.7">
      <c r="B547" s="1" t="s">
        <v>957</v>
      </c>
    </row>
    <row r="549" spans="2:5" x14ac:dyDescent="0.6">
      <c r="B549" s="30" t="s">
        <v>958</v>
      </c>
    </row>
    <row r="551" spans="2:5" x14ac:dyDescent="0.6">
      <c r="B551" s="30" t="s">
        <v>959</v>
      </c>
    </row>
    <row r="552" spans="2:5" x14ac:dyDescent="0.6">
      <c r="B552" s="30" t="s">
        <v>928</v>
      </c>
    </row>
    <row r="553" spans="2:5" ht="26.15" x14ac:dyDescent="0.7">
      <c r="B553" s="4" t="s">
        <v>856</v>
      </c>
      <c r="C553" s="4" t="s">
        <v>857</v>
      </c>
      <c r="D553" s="4" t="s">
        <v>912</v>
      </c>
      <c r="E553" s="4" t="s">
        <v>929</v>
      </c>
    </row>
    <row r="554" spans="2:5" ht="26.15" x14ac:dyDescent="0.7">
      <c r="B554" s="4">
        <v>12</v>
      </c>
      <c r="C554" s="4">
        <f>90/1320</f>
        <v>6.8181818181818177E-2</v>
      </c>
      <c r="D554" s="4">
        <f>C554*B554</f>
        <v>0.81818181818181812</v>
      </c>
      <c r="E554" s="4">
        <f>C554*(B554-$E$558)^2</f>
        <v>14.24549211119459</v>
      </c>
    </row>
    <row r="555" spans="2:5" ht="26.15" x14ac:dyDescent="0.7">
      <c r="B555" s="4">
        <v>6</v>
      </c>
      <c r="C555" s="4">
        <f>60/1320</f>
        <v>4.5454545454545456E-2</v>
      </c>
      <c r="D555" s="4">
        <f t="shared" ref="D555:D556" si="15">C555*B555</f>
        <v>0.27272727272727271</v>
      </c>
      <c r="E555" s="4">
        <f t="shared" ref="E555:E556" si="16">C555*(B555-$E$558)^2</f>
        <v>3.2490608564988732</v>
      </c>
    </row>
    <row r="556" spans="2:5" ht="26.15" x14ac:dyDescent="0.7">
      <c r="B556" s="4">
        <v>-4</v>
      </c>
      <c r="C556" s="4">
        <f>1-(C554+C555)</f>
        <v>0.88636363636363635</v>
      </c>
      <c r="D556" s="4">
        <f t="shared" si="15"/>
        <v>-3.5454545454545454</v>
      </c>
      <c r="E556" s="4">
        <f t="shared" si="16"/>
        <v>2.1170172802404204</v>
      </c>
    </row>
    <row r="557" spans="2:5" ht="26.15" x14ac:dyDescent="0.7">
      <c r="B557"/>
      <c r="C557" s="137">
        <f>SUM(C554:C556)</f>
        <v>1</v>
      </c>
      <c r="D557" s="137">
        <f t="shared" ref="D557:E557" si="17">SUM(D554:D556)</f>
        <v>-2.4545454545454546</v>
      </c>
      <c r="E557" s="137">
        <f t="shared" si="17"/>
        <v>19.611570247933884</v>
      </c>
    </row>
    <row r="558" spans="2:5" ht="46.3" x14ac:dyDescent="0.6">
      <c r="D558" s="125" t="s">
        <v>930</v>
      </c>
      <c r="E558" s="68">
        <f>D557</f>
        <v>-2.4545454545454546</v>
      </c>
    </row>
    <row r="559" spans="2:5" x14ac:dyDescent="0.6">
      <c r="D559" s="32" t="s">
        <v>931</v>
      </c>
      <c r="E559" s="68">
        <f>E557</f>
        <v>19.611570247933884</v>
      </c>
    </row>
    <row r="560" spans="2:5" x14ac:dyDescent="0.6">
      <c r="D560" s="32" t="s">
        <v>932</v>
      </c>
      <c r="E560" s="68">
        <f>SQRT(E559)</f>
        <v>4.4284952577522176</v>
      </c>
    </row>
    <row r="561" spans="1:10" x14ac:dyDescent="0.6">
      <c r="A561"/>
      <c r="B561" s="30" t="s">
        <v>960</v>
      </c>
    </row>
    <row r="562" spans="1:10" x14ac:dyDescent="0.6">
      <c r="A562" s="30" t="s">
        <v>430</v>
      </c>
      <c r="B562" s="30" t="s">
        <v>961</v>
      </c>
    </row>
    <row r="563" spans="1:10" x14ac:dyDescent="0.6">
      <c r="A563" s="30" t="s">
        <v>432</v>
      </c>
      <c r="B563" s="30" t="s">
        <v>962</v>
      </c>
    </row>
    <row r="565" spans="1:10" ht="35.6" x14ac:dyDescent="0.9">
      <c r="A565"/>
      <c r="B565" s="74" t="s">
        <v>963</v>
      </c>
      <c r="C565"/>
      <c r="D565"/>
      <c r="E565"/>
      <c r="F565"/>
    </row>
    <row r="566" spans="1:10" x14ac:dyDescent="0.6">
      <c r="B566" s="30" t="s">
        <v>964</v>
      </c>
    </row>
    <row r="568" spans="1:10" x14ac:dyDescent="0.6">
      <c r="B568" s="30" t="s">
        <v>965</v>
      </c>
      <c r="E568" s="30" t="s">
        <v>966</v>
      </c>
      <c r="F568"/>
    </row>
    <row r="569" spans="1:10" x14ac:dyDescent="0.6">
      <c r="A569" s="91">
        <v>1</v>
      </c>
      <c r="B569" s="91" t="s">
        <v>967</v>
      </c>
      <c r="D569" s="91">
        <v>1</v>
      </c>
      <c r="E569" s="91" t="s">
        <v>968</v>
      </c>
      <c r="F569" s="138"/>
      <c r="G569" s="91"/>
      <c r="H569" s="91"/>
      <c r="I569" s="91"/>
      <c r="J569" s="91"/>
    </row>
    <row r="570" spans="1:10" x14ac:dyDescent="0.6">
      <c r="A570" s="91">
        <v>2</v>
      </c>
      <c r="B570" s="91" t="s">
        <v>969</v>
      </c>
      <c r="D570" s="91">
        <v>2</v>
      </c>
      <c r="E570" s="91" t="s">
        <v>970</v>
      </c>
      <c r="F570" s="138"/>
      <c r="G570" s="91"/>
      <c r="H570" s="91"/>
      <c r="I570" s="91"/>
      <c r="J570" s="91"/>
    </row>
    <row r="571" spans="1:10" x14ac:dyDescent="0.6">
      <c r="A571" s="30">
        <v>3</v>
      </c>
      <c r="B571" s="30" t="s">
        <v>971</v>
      </c>
      <c r="D571" s="30">
        <v>3</v>
      </c>
      <c r="E571" s="30" t="s">
        <v>972</v>
      </c>
      <c r="F571"/>
    </row>
    <row r="573" spans="1:10" ht="28.3" x14ac:dyDescent="0.75">
      <c r="A573" s="86">
        <v>1</v>
      </c>
      <c r="B573" s="86" t="s">
        <v>967</v>
      </c>
    </row>
    <row r="574" spans="1:10" x14ac:dyDescent="0.6">
      <c r="B574" s="30" t="s">
        <v>973</v>
      </c>
    </row>
    <row r="575" spans="1:10" x14ac:dyDescent="0.6">
      <c r="B575" s="30" t="s">
        <v>974</v>
      </c>
    </row>
    <row r="576" spans="1:10" ht="46.3" x14ac:dyDescent="1.2">
      <c r="B576" s="43" t="s">
        <v>975</v>
      </c>
    </row>
    <row r="577" spans="1:2" x14ac:dyDescent="0.6">
      <c r="B577" s="30" t="s">
        <v>976</v>
      </c>
    </row>
    <row r="578" spans="1:2" x14ac:dyDescent="0.6">
      <c r="B578" s="30" t="s">
        <v>977</v>
      </c>
    </row>
    <row r="579" spans="1:2" x14ac:dyDescent="0.6">
      <c r="B579" s="30" t="s">
        <v>978</v>
      </c>
    </row>
    <row r="581" spans="1:2" ht="30.9" x14ac:dyDescent="0.8">
      <c r="B581" s="2" t="s">
        <v>979</v>
      </c>
    </row>
    <row r="582" spans="1:2" x14ac:dyDescent="0.6">
      <c r="B582" s="30" t="s">
        <v>980</v>
      </c>
    </row>
    <row r="584" spans="1:2" x14ac:dyDescent="0.6">
      <c r="A584" s="30" t="s">
        <v>16</v>
      </c>
      <c r="B584" s="30" t="s">
        <v>981</v>
      </c>
    </row>
    <row r="585" spans="1:2" x14ac:dyDescent="0.6">
      <c r="B585" s="30" t="s">
        <v>982</v>
      </c>
    </row>
    <row r="586" spans="1:2" x14ac:dyDescent="0.6">
      <c r="B586" s="30" t="s">
        <v>983</v>
      </c>
    </row>
    <row r="588" spans="1:2" x14ac:dyDescent="0.6">
      <c r="B588" s="30" t="s">
        <v>984</v>
      </c>
    </row>
    <row r="589" spans="1:2" x14ac:dyDescent="0.6">
      <c r="B589" s="30" t="s">
        <v>985</v>
      </c>
    </row>
    <row r="591" spans="1:2" x14ac:dyDescent="0.6">
      <c r="B591" s="30" t="s">
        <v>986</v>
      </c>
    </row>
    <row r="593" spans="2:6" ht="33.450000000000003" x14ac:dyDescent="0.85">
      <c r="B593" s="29" t="s">
        <v>987</v>
      </c>
    </row>
    <row r="594" spans="2:6" x14ac:dyDescent="0.6">
      <c r="B594" s="30" t="s">
        <v>988</v>
      </c>
    </row>
    <row r="595" spans="2:6" x14ac:dyDescent="0.6">
      <c r="B595" s="30" t="s">
        <v>989</v>
      </c>
    </row>
    <row r="596" spans="2:6" x14ac:dyDescent="0.6">
      <c r="B596" s="30" t="s">
        <v>990</v>
      </c>
      <c r="E596" s="32" t="s">
        <v>132</v>
      </c>
      <c r="F596" s="32">
        <v>5</v>
      </c>
    </row>
    <row r="597" spans="2:6" x14ac:dyDescent="0.6">
      <c r="E597" s="32" t="s">
        <v>991</v>
      </c>
      <c r="F597" s="32">
        <v>0.3</v>
      </c>
    </row>
    <row r="598" spans="2:6" ht="30.9" x14ac:dyDescent="0.8">
      <c r="B598" s="2" t="s">
        <v>992</v>
      </c>
    </row>
    <row r="599" spans="2:6" x14ac:dyDescent="0.6">
      <c r="B599" s="31" t="s">
        <v>856</v>
      </c>
      <c r="C599" s="31" t="s">
        <v>857</v>
      </c>
      <c r="D599" s="31" t="s">
        <v>993</v>
      </c>
      <c r="E599" s="31" t="s">
        <v>857</v>
      </c>
      <c r="F599" s="31" t="s">
        <v>994</v>
      </c>
    </row>
    <row r="600" spans="2:6" x14ac:dyDescent="0.6">
      <c r="B600" s="31">
        <v>0</v>
      </c>
      <c r="C600" s="31" t="s">
        <v>995</v>
      </c>
      <c r="D600" s="139">
        <f>COMBIN($F$596,B600)*($F$597)^B600*(1-$F$597)^($F$596-B600)</f>
        <v>0.16806999999999994</v>
      </c>
      <c r="E600" s="139">
        <f>_xlfn.BINOM.DIST(B600,$F$596,$F$597,0)</f>
        <v>0.16806999999999997</v>
      </c>
      <c r="F600" s="31">
        <f>_xlfn.BINOM.DIST(B600,$F$596,$F$597,1)</f>
        <v>0.16806999999999997</v>
      </c>
    </row>
    <row r="601" spans="2:6" x14ac:dyDescent="0.6">
      <c r="B601" s="31">
        <v>1</v>
      </c>
      <c r="C601" s="31" t="s">
        <v>996</v>
      </c>
      <c r="D601" s="139">
        <f t="shared" ref="D601:D605" si="18">COMBIN($F$596,B601)*($F$597)^B601*(1-$F$597)^($F$596-B601)</f>
        <v>0.36014999999999986</v>
      </c>
      <c r="E601" s="139">
        <f t="shared" ref="E601:E605" si="19">_xlfn.BINOM.DIST(B601,$F$596,$F$597,0)</f>
        <v>0.36014999999999997</v>
      </c>
      <c r="F601" s="31">
        <f t="shared" ref="F601:F605" si="20">_xlfn.BINOM.DIST(B601,$F$596,$F$597,1)</f>
        <v>0.52822000000000013</v>
      </c>
    </row>
    <row r="602" spans="2:6" x14ac:dyDescent="0.6">
      <c r="B602" s="31">
        <v>2</v>
      </c>
      <c r="C602" s="31" t="s">
        <v>997</v>
      </c>
      <c r="D602" s="139">
        <f t="shared" si="18"/>
        <v>0.30869999999999992</v>
      </c>
      <c r="E602" s="139">
        <f t="shared" si="19"/>
        <v>0.30869999999999997</v>
      </c>
      <c r="F602" s="31">
        <f t="shared" si="20"/>
        <v>0.83692</v>
      </c>
    </row>
    <row r="603" spans="2:6" x14ac:dyDescent="0.6">
      <c r="B603" s="31">
        <v>3</v>
      </c>
      <c r="C603" s="31" t="s">
        <v>998</v>
      </c>
      <c r="D603" s="139">
        <f t="shared" si="18"/>
        <v>0.1323</v>
      </c>
      <c r="E603" s="139">
        <f t="shared" si="19"/>
        <v>0.13230000000000006</v>
      </c>
      <c r="F603" s="31">
        <f t="shared" si="20"/>
        <v>0.96921999999999997</v>
      </c>
    </row>
    <row r="604" spans="2:6" x14ac:dyDescent="0.6">
      <c r="B604" s="31">
        <v>4</v>
      </c>
      <c r="C604" s="31" t="s">
        <v>999</v>
      </c>
      <c r="D604" s="139">
        <f t="shared" si="18"/>
        <v>2.8349999999999993E-2</v>
      </c>
      <c r="E604" s="139">
        <f t="shared" si="19"/>
        <v>2.8350000000000011E-2</v>
      </c>
      <c r="F604" s="31">
        <f t="shared" si="20"/>
        <v>0.99757000000000007</v>
      </c>
    </row>
    <row r="605" spans="2:6" x14ac:dyDescent="0.6">
      <c r="B605" s="31">
        <v>5</v>
      </c>
      <c r="C605" s="31" t="s">
        <v>1000</v>
      </c>
      <c r="D605" s="139">
        <f t="shared" si="18"/>
        <v>2.4299999999999999E-3</v>
      </c>
      <c r="E605" s="139">
        <f t="shared" si="19"/>
        <v>2.429999999999999E-3</v>
      </c>
      <c r="F605" s="31">
        <f t="shared" si="20"/>
        <v>1</v>
      </c>
    </row>
    <row r="606" spans="2:6" x14ac:dyDescent="0.6">
      <c r="B606" s="31"/>
      <c r="C606" s="31"/>
      <c r="D606" s="140">
        <f>SUM(D600:D605)</f>
        <v>0.99999999999999967</v>
      </c>
      <c r="E606" s="152">
        <f>SUM(E600:E605)</f>
        <v>1</v>
      </c>
      <c r="F606" s="32"/>
    </row>
    <row r="608" spans="2:6" x14ac:dyDescent="0.6">
      <c r="B608" s="30" t="s">
        <v>1001</v>
      </c>
    </row>
    <row r="609" spans="1:6" x14ac:dyDescent="0.6">
      <c r="A609" s="30" t="s">
        <v>430</v>
      </c>
      <c r="B609" s="30" t="s">
        <v>1002</v>
      </c>
      <c r="D609" s="32" t="s">
        <v>1003</v>
      </c>
      <c r="E609" s="140">
        <f>D601</f>
        <v>0.36014999999999986</v>
      </c>
      <c r="F609" s="140">
        <f>_xlfn.BINOM.DIST(1,F596,F597,0)</f>
        <v>0.36014999999999997</v>
      </c>
    </row>
    <row r="610" spans="1:6" x14ac:dyDescent="0.6">
      <c r="A610" s="30" t="s">
        <v>432</v>
      </c>
      <c r="B610" s="30" t="s">
        <v>1004</v>
      </c>
      <c r="D610" s="32" t="s">
        <v>1005</v>
      </c>
      <c r="E610" s="140">
        <f>D600</f>
        <v>0.16806999999999994</v>
      </c>
      <c r="F610" s="140">
        <f>_xlfn.BINOM.DIST(0,F596,F597,0)</f>
        <v>0.16806999999999997</v>
      </c>
    </row>
    <row r="611" spans="1:6" x14ac:dyDescent="0.6">
      <c r="A611" s="30" t="s">
        <v>435</v>
      </c>
      <c r="B611" s="30" t="s">
        <v>1006</v>
      </c>
      <c r="D611" s="32" t="s">
        <v>1007</v>
      </c>
      <c r="E611" s="140">
        <f>SUM(D603:D605)</f>
        <v>0.16307999999999997</v>
      </c>
      <c r="F611" s="140">
        <f>1-_xlfn.BINOM.DIST(2,F596,F597,1)</f>
        <v>0.16308</v>
      </c>
    </row>
    <row r="612" spans="1:6" x14ac:dyDescent="0.6">
      <c r="A612" s="30" t="s">
        <v>665</v>
      </c>
      <c r="B612" s="30" t="s">
        <v>1008</v>
      </c>
      <c r="D612" s="32" t="s">
        <v>1009</v>
      </c>
      <c r="E612" s="140">
        <f>1-(D604+D605)</f>
        <v>0.96921999999999997</v>
      </c>
      <c r="F612" s="140">
        <f>_xlfn.BINOM.DIST(3,F596,F597,1)</f>
        <v>0.96921999999999997</v>
      </c>
    </row>
    <row r="615" spans="1:6" x14ac:dyDescent="0.6">
      <c r="A615" s="30" t="s">
        <v>67</v>
      </c>
      <c r="B615" s="30" t="s">
        <v>1069</v>
      </c>
    </row>
    <row r="616" spans="1:6" x14ac:dyDescent="0.6">
      <c r="B616" s="30" t="s">
        <v>1010</v>
      </c>
    </row>
    <row r="617" spans="1:6" x14ac:dyDescent="0.6">
      <c r="A617" s="30" t="s">
        <v>1011</v>
      </c>
      <c r="B617" s="30" t="s">
        <v>1012</v>
      </c>
    </row>
    <row r="618" spans="1:6" x14ac:dyDescent="0.6">
      <c r="A618" s="30" t="s">
        <v>1013</v>
      </c>
      <c r="B618" s="30" t="s">
        <v>1014</v>
      </c>
    </row>
    <row r="619" spans="1:6" x14ac:dyDescent="0.6">
      <c r="A619" s="30" t="s">
        <v>1015</v>
      </c>
      <c r="B619" s="30" t="s">
        <v>1016</v>
      </c>
    </row>
    <row r="620" spans="1:6" x14ac:dyDescent="0.6">
      <c r="B620" s="30" t="s">
        <v>1017</v>
      </c>
    </row>
    <row r="622" spans="1:6" x14ac:dyDescent="0.6">
      <c r="A622" s="141" t="s">
        <v>1018</v>
      </c>
      <c r="B622" s="30" t="s">
        <v>1019</v>
      </c>
    </row>
    <row r="623" spans="1:6" x14ac:dyDescent="0.6">
      <c r="A623"/>
      <c r="B623" s="30" t="s">
        <v>1020</v>
      </c>
    </row>
    <row r="624" spans="1:6" x14ac:dyDescent="0.6">
      <c r="A624"/>
      <c r="B624" s="30" t="s">
        <v>1021</v>
      </c>
    </row>
    <row r="625" spans="1:5" x14ac:dyDescent="0.6">
      <c r="A625"/>
      <c r="B625" s="31" t="s">
        <v>132</v>
      </c>
      <c r="C625" s="31">
        <v>6</v>
      </c>
    </row>
    <row r="626" spans="1:5" x14ac:dyDescent="0.6">
      <c r="A626"/>
      <c r="B626" s="31" t="s">
        <v>991</v>
      </c>
      <c r="C626" s="31">
        <v>0.02</v>
      </c>
    </row>
    <row r="627" spans="1:5" x14ac:dyDescent="0.6">
      <c r="A627"/>
      <c r="B627" s="31" t="s">
        <v>1022</v>
      </c>
      <c r="C627" s="31">
        <f>1-C626</f>
        <v>0.98</v>
      </c>
    </row>
    <row r="629" spans="1:5" x14ac:dyDescent="0.6">
      <c r="B629" s="30" t="s">
        <v>1023</v>
      </c>
    </row>
    <row r="630" spans="1:5" x14ac:dyDescent="0.6">
      <c r="B630" s="31" t="s">
        <v>856</v>
      </c>
      <c r="C630" s="31" t="s">
        <v>857</v>
      </c>
    </row>
    <row r="631" spans="1:5" x14ac:dyDescent="0.6">
      <c r="B631" s="31">
        <v>0</v>
      </c>
      <c r="C631" s="142">
        <f>_xlfn.BINOM.DIST(B631,$C$625,$C$626,0)</f>
        <v>0.88584238086400002</v>
      </c>
    </row>
    <row r="632" spans="1:5" x14ac:dyDescent="0.6">
      <c r="B632" s="31">
        <v>1</v>
      </c>
      <c r="C632" s="142">
        <f t="shared" ref="C632:C637" si="21">_xlfn.BINOM.DIST(B632,$C$625,$C$626,0)</f>
        <v>0.108470495616</v>
      </c>
    </row>
    <row r="633" spans="1:5" x14ac:dyDescent="0.6">
      <c r="B633" s="31">
        <v>2</v>
      </c>
      <c r="C633" s="142">
        <f t="shared" si="21"/>
        <v>5.534208960000001E-3</v>
      </c>
    </row>
    <row r="634" spans="1:5" x14ac:dyDescent="0.6">
      <c r="B634" s="31">
        <v>3</v>
      </c>
      <c r="C634" s="142">
        <f t="shared" si="21"/>
        <v>1.5059072000000011E-4</v>
      </c>
    </row>
    <row r="635" spans="1:5" x14ac:dyDescent="0.6">
      <c r="B635" s="31">
        <v>4</v>
      </c>
      <c r="C635" s="142">
        <f t="shared" si="21"/>
        <v>2.304959999999995E-6</v>
      </c>
    </row>
    <row r="636" spans="1:5" x14ac:dyDescent="0.6">
      <c r="B636" s="31">
        <v>5</v>
      </c>
      <c r="C636" s="142">
        <f t="shared" si="21"/>
        <v>1.8815999999999945E-8</v>
      </c>
    </row>
    <row r="637" spans="1:5" x14ac:dyDescent="0.6">
      <c r="B637" s="31">
        <v>6</v>
      </c>
      <c r="C637" s="142">
        <f t="shared" si="21"/>
        <v>6.4000000000000089E-11</v>
      </c>
    </row>
    <row r="638" spans="1:5" x14ac:dyDescent="0.6">
      <c r="C638" s="32">
        <f>SUM(C631:C637)</f>
        <v>1</v>
      </c>
    </row>
    <row r="640" spans="1:5" x14ac:dyDescent="0.6">
      <c r="A640" s="30" t="s">
        <v>1011</v>
      </c>
      <c r="B640" s="30" t="s">
        <v>1012</v>
      </c>
      <c r="D640" s="85">
        <f>C631</f>
        <v>0.88584238086400002</v>
      </c>
      <c r="E640" s="85">
        <f>_xlfn.BINOM.DIST(0,C625,C626,0)</f>
        <v>0.88584238086400002</v>
      </c>
    </row>
    <row r="641" spans="1:5" x14ac:dyDescent="0.6">
      <c r="A641" s="30" t="s">
        <v>1013</v>
      </c>
      <c r="B641" s="30" t="s">
        <v>1014</v>
      </c>
      <c r="D641" s="143">
        <f>SUM(C633:C637)</f>
        <v>5.6871235200000019E-3</v>
      </c>
      <c r="E641" s="143">
        <f>1-_xlfn.BINOM.DIST(1,C625,C626,1)</f>
        <v>5.6871235200000037E-3</v>
      </c>
    </row>
    <row r="642" spans="1:5" x14ac:dyDescent="0.6">
      <c r="A642" s="30" t="s">
        <v>1015</v>
      </c>
      <c r="B642" s="30" t="s">
        <v>1016</v>
      </c>
      <c r="D642" s="143">
        <f>SUM(C631:C633)</f>
        <v>0.99984708544000001</v>
      </c>
      <c r="E642" s="143">
        <f>_xlfn.BINOM.DIST(2,C625,C626,1)</f>
        <v>0.99984708544000001</v>
      </c>
    </row>
    <row r="645" spans="1:5" x14ac:dyDescent="0.6">
      <c r="A645" s="30" t="s">
        <v>286</v>
      </c>
      <c r="B645" s="30" t="s">
        <v>1024</v>
      </c>
    </row>
    <row r="646" spans="1:5" x14ac:dyDescent="0.6">
      <c r="B646" s="30" t="s">
        <v>1025</v>
      </c>
    </row>
    <row r="647" spans="1:5" x14ac:dyDescent="0.6">
      <c r="A647" s="30" t="s">
        <v>1011</v>
      </c>
      <c r="B647" s="30" t="s">
        <v>1026</v>
      </c>
    </row>
    <row r="648" spans="1:5" x14ac:dyDescent="0.6">
      <c r="A648" s="30" t="s">
        <v>1013</v>
      </c>
      <c r="B648" s="30" t="s">
        <v>1027</v>
      </c>
    </row>
    <row r="649" spans="1:5" x14ac:dyDescent="0.6">
      <c r="A649" s="30" t="s">
        <v>1015</v>
      </c>
      <c r="B649" s="30" t="s">
        <v>1028</v>
      </c>
    </row>
    <row r="650" spans="1:5" x14ac:dyDescent="0.6">
      <c r="B650" s="30" t="s">
        <v>1017</v>
      </c>
    </row>
    <row r="652" spans="1:5" x14ac:dyDescent="0.6">
      <c r="B652" s="30" t="s">
        <v>1029</v>
      </c>
    </row>
    <row r="653" spans="1:5" x14ac:dyDescent="0.6">
      <c r="B653" s="30" t="s">
        <v>1030</v>
      </c>
    </row>
    <row r="654" spans="1:5" x14ac:dyDescent="0.6">
      <c r="B654" s="30" t="s">
        <v>1021</v>
      </c>
    </row>
    <row r="655" spans="1:5" x14ac:dyDescent="0.6">
      <c r="B655" s="31" t="s">
        <v>132</v>
      </c>
      <c r="C655" s="31">
        <v>5</v>
      </c>
    </row>
    <row r="656" spans="1:5" x14ac:dyDescent="0.6">
      <c r="B656" s="31" t="s">
        <v>991</v>
      </c>
      <c r="C656" s="31">
        <v>0.75</v>
      </c>
    </row>
    <row r="657" spans="1:4" x14ac:dyDescent="0.6">
      <c r="B657" s="31" t="s">
        <v>1022</v>
      </c>
      <c r="C657" s="31">
        <f>1-C656</f>
        <v>0.25</v>
      </c>
    </row>
    <row r="659" spans="1:4" x14ac:dyDescent="0.6">
      <c r="B659" s="30" t="s">
        <v>1031</v>
      </c>
    </row>
    <row r="660" spans="1:4" x14ac:dyDescent="0.6">
      <c r="B660" s="31" t="s">
        <v>856</v>
      </c>
      <c r="C660" s="31" t="s">
        <v>857</v>
      </c>
    </row>
    <row r="661" spans="1:4" x14ac:dyDescent="0.6">
      <c r="B661" s="31">
        <v>0</v>
      </c>
      <c r="C661" s="144">
        <f>_xlfn.BINOM.DIST(B661,$C$655,$C$656,0)</f>
        <v>9.765625E-4</v>
      </c>
    </row>
    <row r="662" spans="1:4" x14ac:dyDescent="0.6">
      <c r="B662" s="31">
        <v>1</v>
      </c>
      <c r="C662" s="144">
        <f t="shared" ref="C662:C666" si="22">_xlfn.BINOM.DIST(B662,$C$655,$C$656,0)</f>
        <v>1.4648437500000005E-2</v>
      </c>
    </row>
    <row r="663" spans="1:4" x14ac:dyDescent="0.6">
      <c r="B663" s="31">
        <v>2</v>
      </c>
      <c r="C663" s="144">
        <f t="shared" si="22"/>
        <v>8.7890625000000042E-2</v>
      </c>
    </row>
    <row r="664" spans="1:4" x14ac:dyDescent="0.6">
      <c r="B664" s="31">
        <v>3</v>
      </c>
      <c r="C664" s="144">
        <f t="shared" si="22"/>
        <v>0.26367187499999994</v>
      </c>
    </row>
    <row r="665" spans="1:4" x14ac:dyDescent="0.6">
      <c r="B665" s="31">
        <v>4</v>
      </c>
      <c r="C665" s="144">
        <f t="shared" si="22"/>
        <v>0.3955078125</v>
      </c>
    </row>
    <row r="666" spans="1:4" x14ac:dyDescent="0.6">
      <c r="B666" s="31">
        <v>5</v>
      </c>
      <c r="C666" s="144">
        <f t="shared" si="22"/>
        <v>0.23730468750000006</v>
      </c>
    </row>
    <row r="667" spans="1:4" x14ac:dyDescent="0.6">
      <c r="B667" s="31"/>
      <c r="C667" s="145">
        <f>SUM(C661:C666)</f>
        <v>1</v>
      </c>
    </row>
    <row r="669" spans="1:4" x14ac:dyDescent="0.6">
      <c r="A669" s="30" t="s">
        <v>1011</v>
      </c>
      <c r="B669" s="30" t="s">
        <v>1026</v>
      </c>
      <c r="D669" s="85">
        <f>_xlfn.BINOM.DIST(5,C655,C656,0)</f>
        <v>0.23730468750000006</v>
      </c>
    </row>
    <row r="670" spans="1:4" x14ac:dyDescent="0.6">
      <c r="A670" s="30" t="s">
        <v>1013</v>
      </c>
      <c r="B670" s="30" t="s">
        <v>1027</v>
      </c>
      <c r="D670" s="143">
        <f>1-_xlfn.BINOM.DIST(1,C655,C656,1)</f>
        <v>0.984375</v>
      </c>
    </row>
    <row r="671" spans="1:4" x14ac:dyDescent="0.6">
      <c r="A671" s="30" t="s">
        <v>1015</v>
      </c>
      <c r="B671" s="30" t="s">
        <v>1028</v>
      </c>
      <c r="D671" s="85">
        <f>_xlfn.BINOM.DIST(2,C655,C656,1)</f>
        <v>0.10351562500000003</v>
      </c>
    </row>
    <row r="674" spans="1:3" x14ac:dyDescent="0.6">
      <c r="A674" s="30" t="s">
        <v>298</v>
      </c>
      <c r="B674" s="30" t="s">
        <v>1032</v>
      </c>
      <c r="C674"/>
    </row>
    <row r="675" spans="1:3" x14ac:dyDescent="0.6">
      <c r="B675" s="30" t="s">
        <v>1033</v>
      </c>
      <c r="C675"/>
    </row>
    <row r="676" spans="1:3" x14ac:dyDescent="0.6">
      <c r="B676" s="30" t="s">
        <v>1034</v>
      </c>
      <c r="C676"/>
    </row>
    <row r="677" spans="1:3" x14ac:dyDescent="0.6">
      <c r="B677" s="30" t="s">
        <v>1035</v>
      </c>
      <c r="C677"/>
    </row>
    <row r="679" spans="1:3" x14ac:dyDescent="0.6">
      <c r="B679" s="30" t="s">
        <v>1036</v>
      </c>
    </row>
    <row r="680" spans="1:3" x14ac:dyDescent="0.6">
      <c r="B680" s="30" t="s">
        <v>1037</v>
      </c>
    </row>
    <row r="681" spans="1:3" x14ac:dyDescent="0.6">
      <c r="B681" s="31" t="s">
        <v>132</v>
      </c>
      <c r="C681" s="31" t="s">
        <v>1038</v>
      </c>
    </row>
    <row r="682" spans="1:3" x14ac:dyDescent="0.6">
      <c r="B682" s="31" t="s">
        <v>991</v>
      </c>
      <c r="C682" s="31">
        <v>0.8</v>
      </c>
    </row>
    <row r="683" spans="1:3" x14ac:dyDescent="0.6">
      <c r="B683" s="31" t="s">
        <v>1022</v>
      </c>
      <c r="C683" s="31">
        <f>1-C682</f>
        <v>0.19999999999999996</v>
      </c>
    </row>
    <row r="685" spans="1:3" x14ac:dyDescent="0.6">
      <c r="B685" s="30" t="s">
        <v>1039</v>
      </c>
    </row>
    <row r="686" spans="1:3" x14ac:dyDescent="0.6">
      <c r="B686" s="30" t="s">
        <v>1040</v>
      </c>
    </row>
    <row r="687" spans="1:3" x14ac:dyDescent="0.6">
      <c r="B687" s="30" t="s">
        <v>1041</v>
      </c>
    </row>
    <row r="688" spans="1:3" ht="92.6" x14ac:dyDescent="0.6">
      <c r="B688" s="37" t="s">
        <v>1042</v>
      </c>
      <c r="C688" s="37" t="s">
        <v>1043</v>
      </c>
    </row>
    <row r="689" spans="1:3" x14ac:dyDescent="0.6">
      <c r="B689" s="31">
        <v>15</v>
      </c>
      <c r="C689" s="146">
        <f>1-_xlfn.BINOM.DIST(14,B689,0.8,1)</f>
        <v>3.5184372088832072E-2</v>
      </c>
    </row>
    <row r="690" spans="1:3" x14ac:dyDescent="0.6">
      <c r="B690" s="31">
        <v>16</v>
      </c>
      <c r="C690" s="146">
        <f>1-_xlfn.BINOM.DIST(14,B690,0.8,1)</f>
        <v>0.14073748835532807</v>
      </c>
    </row>
    <row r="691" spans="1:3" x14ac:dyDescent="0.6">
      <c r="B691" s="31">
        <v>17</v>
      </c>
      <c r="C691" s="146">
        <f>1-_xlfn.BINOM.DIST(14,B691,0.8,1)</f>
        <v>0.30962247438172197</v>
      </c>
    </row>
    <row r="692" spans="1:3" x14ac:dyDescent="0.6">
      <c r="B692" s="31">
        <v>18</v>
      </c>
      <c r="C692" s="146">
        <f t="shared" ref="C692:C696" si="23">1-_xlfn.BINOM.DIST(14,B692,0.8,1)</f>
        <v>0.50102545854496772</v>
      </c>
    </row>
    <row r="693" spans="1:3" x14ac:dyDescent="0.6">
      <c r="B693" s="31">
        <v>19</v>
      </c>
      <c r="C693" s="146">
        <f t="shared" si="23"/>
        <v>0.67328814429188943</v>
      </c>
    </row>
    <row r="694" spans="1:3" x14ac:dyDescent="0.6">
      <c r="B694" s="31">
        <v>20</v>
      </c>
      <c r="C694" s="146">
        <f t="shared" si="23"/>
        <v>0.8042077854595493</v>
      </c>
    </row>
    <row r="695" spans="1:3" x14ac:dyDescent="0.6">
      <c r="B695" s="31">
        <v>21</v>
      </c>
      <c r="C695" s="146">
        <f>1-_xlfn.BINOM.DIST(14,B695,0.8,1)</f>
        <v>0.89148754623798976</v>
      </c>
    </row>
    <row r="696" spans="1:3" x14ac:dyDescent="0.6">
      <c r="B696" s="32">
        <v>22</v>
      </c>
      <c r="C696" s="147">
        <f t="shared" si="23"/>
        <v>0.94385540270505386</v>
      </c>
    </row>
    <row r="698" spans="1:3" x14ac:dyDescent="0.6">
      <c r="B698" s="30" t="s">
        <v>1044</v>
      </c>
    </row>
    <row r="701" spans="1:3" x14ac:dyDescent="0.6">
      <c r="A701" s="30" t="s">
        <v>703</v>
      </c>
      <c r="B701" s="30" t="s">
        <v>1045</v>
      </c>
    </row>
    <row r="702" spans="1:3" x14ac:dyDescent="0.6">
      <c r="B702" s="30" t="s">
        <v>1046</v>
      </c>
    </row>
    <row r="704" spans="1:3" x14ac:dyDescent="0.6">
      <c r="B704" s="30" t="s">
        <v>1047</v>
      </c>
    </row>
    <row r="705" spans="1:4" x14ac:dyDescent="0.6">
      <c r="B705" s="30" t="s">
        <v>1048</v>
      </c>
    </row>
    <row r="706" spans="1:4" x14ac:dyDescent="0.6">
      <c r="B706" s="31" t="s">
        <v>132</v>
      </c>
      <c r="C706" s="31">
        <v>10</v>
      </c>
    </row>
    <row r="707" spans="1:4" x14ac:dyDescent="0.6">
      <c r="B707" s="31" t="s">
        <v>991</v>
      </c>
      <c r="C707" s="61">
        <v>0.99</v>
      </c>
    </row>
    <row r="708" spans="1:4" x14ac:dyDescent="0.6">
      <c r="B708" s="31" t="s">
        <v>1049</v>
      </c>
      <c r="C708" s="61">
        <f>1-C707</f>
        <v>1.0000000000000009E-2</v>
      </c>
    </row>
    <row r="710" spans="1:4" x14ac:dyDescent="0.6">
      <c r="B710" s="30" t="s">
        <v>1050</v>
      </c>
      <c r="D710" s="148">
        <f>1-BINOMDIST(6,C706,C707,1)</f>
        <v>0.9999979987238431</v>
      </c>
    </row>
    <row r="712" spans="1:4" x14ac:dyDescent="0.6">
      <c r="B712" s="91" t="s">
        <v>1051</v>
      </c>
      <c r="C712" s="91"/>
      <c r="D712" s="91"/>
    </row>
    <row r="715" spans="1:4" x14ac:dyDescent="0.6">
      <c r="A715" s="30" t="s">
        <v>724</v>
      </c>
      <c r="B715" s="30" t="s">
        <v>1052</v>
      </c>
    </row>
    <row r="716" spans="1:4" x14ac:dyDescent="0.6">
      <c r="B716" s="30" t="s">
        <v>1053</v>
      </c>
    </row>
    <row r="718" spans="1:4" x14ac:dyDescent="0.6">
      <c r="B718" s="30" t="s">
        <v>1054</v>
      </c>
    </row>
    <row r="719" spans="1:4" x14ac:dyDescent="0.6">
      <c r="B719" s="30" t="s">
        <v>1055</v>
      </c>
    </row>
    <row r="721" spans="1:4" ht="46.3" x14ac:dyDescent="0.6">
      <c r="B721" s="37" t="s">
        <v>1056</v>
      </c>
      <c r="C721" s="37" t="s">
        <v>1057</v>
      </c>
    </row>
    <row r="722" spans="1:4" x14ac:dyDescent="0.6">
      <c r="B722" s="37">
        <v>5</v>
      </c>
      <c r="C722" s="149">
        <f>1-_xlfn.BINOM.DIST(4,B722,88%,1)</f>
        <v>0.52773191679999998</v>
      </c>
    </row>
    <row r="723" spans="1:4" x14ac:dyDescent="0.6">
      <c r="B723" s="37">
        <v>6</v>
      </c>
      <c r="C723" s="149">
        <f t="shared" ref="C723:C726" si="24">1-_xlfn.BINOM.DIST(4,B723,88%,1)</f>
        <v>0.84437106687999997</v>
      </c>
    </row>
    <row r="724" spans="1:4" x14ac:dyDescent="0.6">
      <c r="B724" s="125">
        <v>7</v>
      </c>
      <c r="C724" s="150">
        <f t="shared" si="24"/>
        <v>0.95836116090880008</v>
      </c>
    </row>
    <row r="725" spans="1:4" x14ac:dyDescent="0.6">
      <c r="B725" s="37">
        <v>8</v>
      </c>
      <c r="C725" s="149">
        <f t="shared" si="24"/>
        <v>0.99027838723686401</v>
      </c>
    </row>
    <row r="726" spans="1:4" x14ac:dyDescent="0.6">
      <c r="B726" s="37">
        <v>9</v>
      </c>
      <c r="C726" s="149">
        <f t="shared" si="24"/>
        <v>0.99793852155559937</v>
      </c>
    </row>
    <row r="729" spans="1:4" x14ac:dyDescent="0.6">
      <c r="A729" s="30" t="s">
        <v>733</v>
      </c>
      <c r="B729" s="30" t="s">
        <v>1058</v>
      </c>
    </row>
    <row r="730" spans="1:4" x14ac:dyDescent="0.6">
      <c r="B730" s="30" t="s">
        <v>1059</v>
      </c>
    </row>
    <row r="732" spans="1:4" x14ac:dyDescent="0.6">
      <c r="B732" s="30" t="s">
        <v>1060</v>
      </c>
    </row>
    <row r="733" spans="1:4" x14ac:dyDescent="0.6">
      <c r="B733" s="30" t="s">
        <v>1061</v>
      </c>
    </row>
    <row r="734" spans="1:4" ht="46.3" x14ac:dyDescent="0.6">
      <c r="B734" s="37" t="s">
        <v>1062</v>
      </c>
      <c r="C734" s="37" t="s">
        <v>1063</v>
      </c>
    </row>
    <row r="735" spans="1:4" x14ac:dyDescent="0.6">
      <c r="B735" s="37">
        <v>327</v>
      </c>
      <c r="C735" s="149">
        <f>1-_xlfn.BINOM.DIST(0,B735,1.4%,1)</f>
        <v>0.99005164702930781</v>
      </c>
      <c r="D735" s="30" t="s">
        <v>1064</v>
      </c>
    </row>
    <row r="738" spans="1:5" x14ac:dyDescent="0.6">
      <c r="B738" s="59">
        <v>44816</v>
      </c>
    </row>
    <row r="739" spans="1:5" x14ac:dyDescent="0.6">
      <c r="A739" s="30" t="s">
        <v>739</v>
      </c>
      <c r="B739" s="30" t="s">
        <v>1070</v>
      </c>
    </row>
    <row r="740" spans="1:5" x14ac:dyDescent="0.6">
      <c r="B740" s="30" t="s">
        <v>1071</v>
      </c>
    </row>
    <row r="741" spans="1:5" x14ac:dyDescent="0.6">
      <c r="B741" s="30" t="s">
        <v>1072</v>
      </c>
    </row>
    <row r="742" spans="1:5" x14ac:dyDescent="0.6">
      <c r="B742" s="30" t="s">
        <v>1073</v>
      </c>
    </row>
    <row r="744" spans="1:5" ht="28.3" x14ac:dyDescent="0.75">
      <c r="B744" s="86" t="s">
        <v>1074</v>
      </c>
    </row>
    <row r="745" spans="1:5" x14ac:dyDescent="0.6">
      <c r="B745" s="30" t="s">
        <v>1075</v>
      </c>
      <c r="C745"/>
    </row>
    <row r="746" spans="1:5" x14ac:dyDescent="0.6">
      <c r="B746" s="30" t="s">
        <v>1076</v>
      </c>
      <c r="C746"/>
    </row>
    <row r="747" spans="1:5" x14ac:dyDescent="0.6">
      <c r="B747"/>
      <c r="C747"/>
    </row>
    <row r="748" spans="1:5" x14ac:dyDescent="0.6">
      <c r="B748" s="30" t="s">
        <v>1077</v>
      </c>
      <c r="C748"/>
      <c r="D748" s="31" t="s">
        <v>1078</v>
      </c>
      <c r="E748" s="38">
        <v>0.89249999999999996</v>
      </c>
    </row>
    <row r="749" spans="1:5" x14ac:dyDescent="0.6">
      <c r="B749" s="30" t="s">
        <v>1079</v>
      </c>
      <c r="C749"/>
      <c r="D749" s="31" t="s">
        <v>1080</v>
      </c>
      <c r="E749" s="31">
        <v>1.05</v>
      </c>
    </row>
    <row r="750" spans="1:5" x14ac:dyDescent="0.6">
      <c r="B750" s="30" t="s">
        <v>1081</v>
      </c>
      <c r="C750"/>
      <c r="D750" s="31" t="s">
        <v>1082</v>
      </c>
      <c r="E750" s="31">
        <f>E748/E749</f>
        <v>0.85</v>
      </c>
    </row>
    <row r="751" spans="1:5" x14ac:dyDescent="0.6">
      <c r="B751" s="30" t="s">
        <v>1083</v>
      </c>
      <c r="C751"/>
      <c r="D751" s="31" t="s">
        <v>991</v>
      </c>
      <c r="E751" s="31">
        <f>1-E750</f>
        <v>0.15000000000000002</v>
      </c>
    </row>
    <row r="752" spans="1:5" x14ac:dyDescent="0.6">
      <c r="B752" s="30" t="s">
        <v>1084</v>
      </c>
      <c r="C752"/>
      <c r="D752" s="31" t="s">
        <v>132</v>
      </c>
      <c r="E752" s="31">
        <f>E749/E751</f>
        <v>6.9999999999999991</v>
      </c>
    </row>
    <row r="754" spans="1:3" x14ac:dyDescent="0.6">
      <c r="B754" s="30" t="s">
        <v>1085</v>
      </c>
    </row>
    <row r="755" spans="1:3" x14ac:dyDescent="0.6">
      <c r="B755" s="30" t="s">
        <v>1021</v>
      </c>
    </row>
    <row r="756" spans="1:3" x14ac:dyDescent="0.6">
      <c r="B756" s="31" t="s">
        <v>132</v>
      </c>
      <c r="C756" s="31">
        <v>10</v>
      </c>
    </row>
    <row r="757" spans="1:3" x14ac:dyDescent="0.6">
      <c r="B757" s="31" t="s">
        <v>991</v>
      </c>
      <c r="C757" s="31">
        <f>E751</f>
        <v>0.15000000000000002</v>
      </c>
    </row>
    <row r="758" spans="1:3" x14ac:dyDescent="0.6">
      <c r="B758" s="31" t="s">
        <v>1022</v>
      </c>
      <c r="C758" s="31">
        <f>1-C757</f>
        <v>0.85</v>
      </c>
    </row>
    <row r="760" spans="1:3" x14ac:dyDescent="0.6">
      <c r="B760" s="39" t="s">
        <v>1086</v>
      </c>
      <c r="C760" s="158">
        <f>1-_xlfn.BINOM.DIST(3,C756,C757,1)</f>
        <v>4.9969798878515714E-2</v>
      </c>
    </row>
    <row r="762" spans="1:3" x14ac:dyDescent="0.6">
      <c r="A762" s="30" t="s">
        <v>745</v>
      </c>
      <c r="B762" s="30" t="s">
        <v>1240</v>
      </c>
    </row>
    <row r="763" spans="1:3" x14ac:dyDescent="0.6">
      <c r="A763" s="30" t="s">
        <v>430</v>
      </c>
      <c r="B763" s="30" t="s">
        <v>1241</v>
      </c>
    </row>
    <row r="764" spans="1:3" x14ac:dyDescent="0.6">
      <c r="A764" s="30" t="s">
        <v>432</v>
      </c>
      <c r="B764" s="30" t="s">
        <v>1242</v>
      </c>
    </row>
    <row r="765" spans="1:3" x14ac:dyDescent="0.6">
      <c r="A765" s="30" t="s">
        <v>432</v>
      </c>
      <c r="B765" s="30" t="s">
        <v>1243</v>
      </c>
    </row>
    <row r="767" spans="1:3" x14ac:dyDescent="0.6">
      <c r="B767" s="30" t="s">
        <v>1244</v>
      </c>
    </row>
    <row r="768" spans="1:3" x14ac:dyDescent="0.6">
      <c r="B768" s="30" t="s">
        <v>1245</v>
      </c>
    </row>
    <row r="769" spans="1:4" x14ac:dyDescent="0.6">
      <c r="B769" s="31" t="s">
        <v>132</v>
      </c>
      <c r="C769" s="31">
        <v>6</v>
      </c>
    </row>
    <row r="770" spans="1:4" x14ac:dyDescent="0.6">
      <c r="B770" s="31" t="s">
        <v>991</v>
      </c>
      <c r="C770" s="31" t="s">
        <v>1239</v>
      </c>
    </row>
    <row r="771" spans="1:4" x14ac:dyDescent="0.6">
      <c r="B771" s="31" t="s">
        <v>1022</v>
      </c>
      <c r="C771" s="31" t="s">
        <v>1239</v>
      </c>
    </row>
    <row r="772" spans="1:4" x14ac:dyDescent="0.6">
      <c r="B772" s="30" t="s">
        <v>1246</v>
      </c>
    </row>
    <row r="774" spans="1:4" x14ac:dyDescent="0.6">
      <c r="B774" s="30" t="s">
        <v>1247</v>
      </c>
    </row>
    <row r="775" spans="1:4" x14ac:dyDescent="0.6">
      <c r="B775" s="30" t="s">
        <v>1248</v>
      </c>
    </row>
    <row r="776" spans="1:4" x14ac:dyDescent="0.6">
      <c r="B776" s="30" t="s">
        <v>1249</v>
      </c>
      <c r="D776" s="136">
        <f>0.0568^(1/6)</f>
        <v>0.61999957141512141</v>
      </c>
    </row>
    <row r="777" spans="1:4" x14ac:dyDescent="0.6">
      <c r="A777" s="30" t="s">
        <v>432</v>
      </c>
      <c r="B777" s="30" t="s">
        <v>1250</v>
      </c>
    </row>
    <row r="778" spans="1:4" x14ac:dyDescent="0.6">
      <c r="A778" s="30" t="s">
        <v>430</v>
      </c>
      <c r="B778" s="30" t="s">
        <v>1251</v>
      </c>
      <c r="D778" s="70">
        <f>6*0.38</f>
        <v>2.2800000000000002</v>
      </c>
    </row>
    <row r="779" spans="1:4" x14ac:dyDescent="0.6">
      <c r="B779" s="30" t="s">
        <v>1252</v>
      </c>
      <c r="D779" s="70">
        <f>SQRT((6*0.38*0.62))</f>
        <v>1.188949115816148</v>
      </c>
    </row>
    <row r="781" spans="1:4" x14ac:dyDescent="0.6">
      <c r="A781" s="30" t="s">
        <v>435</v>
      </c>
      <c r="B781" s="30" t="s">
        <v>1253</v>
      </c>
      <c r="D781" s="153">
        <f>1-_xlfn.BINOM.DIST(1,C769,0.38,1)</f>
        <v>0.73432147871999998</v>
      </c>
    </row>
    <row r="784" spans="1:4" x14ac:dyDescent="0.6">
      <c r="A784" s="30" t="s">
        <v>739</v>
      </c>
      <c r="B784" s="30" t="s">
        <v>1254</v>
      </c>
    </row>
    <row r="785" spans="1:3" x14ac:dyDescent="0.6">
      <c r="B785" s="30" t="s">
        <v>1255</v>
      </c>
    </row>
    <row r="786" spans="1:3" x14ac:dyDescent="0.6">
      <c r="A786" s="30" t="s">
        <v>430</v>
      </c>
      <c r="B786" s="30" t="s">
        <v>1256</v>
      </c>
    </row>
    <row r="788" spans="1:3" x14ac:dyDescent="0.6">
      <c r="B788" s="30" t="s">
        <v>1257</v>
      </c>
    </row>
    <row r="789" spans="1:3" x14ac:dyDescent="0.6">
      <c r="B789" s="30" t="s">
        <v>1048</v>
      </c>
    </row>
    <row r="790" spans="1:3" x14ac:dyDescent="0.6">
      <c r="B790" s="31" t="s">
        <v>132</v>
      </c>
      <c r="C790" s="31">
        <v>100</v>
      </c>
    </row>
    <row r="791" spans="1:3" x14ac:dyDescent="0.6">
      <c r="B791" s="31" t="s">
        <v>991</v>
      </c>
      <c r="C791" s="61">
        <v>0.01</v>
      </c>
    </row>
    <row r="792" spans="1:3" x14ac:dyDescent="0.6">
      <c r="B792" s="31" t="s">
        <v>1049</v>
      </c>
      <c r="C792" s="61">
        <f>1-C791</f>
        <v>0.99</v>
      </c>
    </row>
    <row r="794" spans="1:3" x14ac:dyDescent="0.6">
      <c r="B794" s="30" t="s">
        <v>1258</v>
      </c>
      <c r="C794" s="165">
        <f>_xlfn.BINOM.DIST(0,C790,C791,0)</f>
        <v>0.36603234127322948</v>
      </c>
    </row>
    <row r="796" spans="1:3" x14ac:dyDescent="0.6">
      <c r="A796" s="30" t="s">
        <v>432</v>
      </c>
      <c r="B796" s="30" t="s">
        <v>1259</v>
      </c>
    </row>
    <row r="797" spans="1:3" x14ac:dyDescent="0.6">
      <c r="B797" s="31" t="s">
        <v>132</v>
      </c>
      <c r="C797" s="31">
        <v>100</v>
      </c>
    </row>
    <row r="798" spans="1:3" x14ac:dyDescent="0.6">
      <c r="B798" s="31" t="s">
        <v>991</v>
      </c>
      <c r="C798" s="166">
        <v>2.2000000000000001E-3</v>
      </c>
    </row>
    <row r="799" spans="1:3" x14ac:dyDescent="0.6">
      <c r="B799" s="31" t="s">
        <v>1049</v>
      </c>
      <c r="C799" s="167">
        <f>1-C798</f>
        <v>0.99780000000000002</v>
      </c>
    </row>
    <row r="801" spans="1:3" x14ac:dyDescent="0.6">
      <c r="B801" s="39" t="s">
        <v>1258</v>
      </c>
      <c r="C801" s="165">
        <f>_xlfn.BINOM.DIST(0,C797,C798,1)</f>
        <v>0.80232432666843145</v>
      </c>
    </row>
    <row r="803" spans="1:3" x14ac:dyDescent="0.6">
      <c r="B803" s="30" t="s">
        <v>1260</v>
      </c>
    </row>
    <row r="804" spans="1:3" x14ac:dyDescent="0.6">
      <c r="B804" s="30" t="s">
        <v>1261</v>
      </c>
    </row>
    <row r="805" spans="1:3" x14ac:dyDescent="0.6">
      <c r="B805" s="30" t="s">
        <v>1262</v>
      </c>
    </row>
    <row r="807" spans="1:3" ht="61.3" x14ac:dyDescent="1.55">
      <c r="B807" s="104" t="s">
        <v>1087</v>
      </c>
    </row>
    <row r="809" spans="1:3" x14ac:dyDescent="0.6">
      <c r="B809" s="30" t="s">
        <v>1088</v>
      </c>
    </row>
    <row r="810" spans="1:3" x14ac:dyDescent="0.6">
      <c r="B810" s="30" t="s">
        <v>1089</v>
      </c>
    </row>
    <row r="811" spans="1:3" ht="33.450000000000003" x14ac:dyDescent="0.85">
      <c r="B811" s="154" t="s">
        <v>1090</v>
      </c>
      <c r="C811" s="91"/>
    </row>
    <row r="812" spans="1:3" ht="33.450000000000003" x14ac:dyDescent="0.85">
      <c r="B812" s="154" t="s">
        <v>1091</v>
      </c>
      <c r="C812" s="91"/>
    </row>
    <row r="814" spans="1:3" x14ac:dyDescent="0.6">
      <c r="A814" s="30" t="s">
        <v>1092</v>
      </c>
      <c r="B814" s="30" t="s">
        <v>132</v>
      </c>
      <c r="C814" s="30" t="s">
        <v>1093</v>
      </c>
    </row>
    <row r="815" spans="1:3" x14ac:dyDescent="0.6">
      <c r="B815" s="30" t="s">
        <v>991</v>
      </c>
      <c r="C815" s="30" t="s">
        <v>1094</v>
      </c>
    </row>
    <row r="816" spans="1:3" x14ac:dyDescent="0.6">
      <c r="B816" s="30" t="s">
        <v>1095</v>
      </c>
      <c r="C816" s="30" t="s">
        <v>1096</v>
      </c>
    </row>
    <row r="817" spans="1:3" x14ac:dyDescent="0.6">
      <c r="B817" s="30" t="s">
        <v>1097</v>
      </c>
      <c r="C817" s="30" t="s">
        <v>1098</v>
      </c>
    </row>
    <row r="819" spans="1:3" ht="26.15" x14ac:dyDescent="0.7">
      <c r="B819" s="1" t="s">
        <v>1099</v>
      </c>
    </row>
    <row r="821" spans="1:3" x14ac:dyDescent="0.6">
      <c r="B821" s="30" t="s">
        <v>1100</v>
      </c>
    </row>
    <row r="822" spans="1:3" x14ac:dyDescent="0.6">
      <c r="B822" s="30" t="s">
        <v>1101</v>
      </c>
    </row>
    <row r="824" spans="1:3" x14ac:dyDescent="0.6">
      <c r="A824" s="30" t="s">
        <v>16</v>
      </c>
      <c r="B824" s="30" t="s">
        <v>1102</v>
      </c>
    </row>
    <row r="825" spans="1:3" x14ac:dyDescent="0.6">
      <c r="B825" s="30" t="s">
        <v>1103</v>
      </c>
    </row>
    <row r="826" spans="1:3" x14ac:dyDescent="0.6">
      <c r="A826" s="30" t="s">
        <v>1011</v>
      </c>
      <c r="B826" s="30" t="s">
        <v>1104</v>
      </c>
    </row>
    <row r="827" spans="1:3" x14ac:dyDescent="0.6">
      <c r="A827" s="30" t="s">
        <v>1013</v>
      </c>
      <c r="B827" s="30" t="s">
        <v>1105</v>
      </c>
    </row>
    <row r="828" spans="1:3" x14ac:dyDescent="0.6">
      <c r="A828" s="30" t="s">
        <v>1015</v>
      </c>
      <c r="B828" s="30" t="s">
        <v>1106</v>
      </c>
    </row>
    <row r="830" spans="1:3" x14ac:dyDescent="0.6">
      <c r="B830" s="30" t="s">
        <v>1107</v>
      </c>
    </row>
    <row r="831" spans="1:3" x14ac:dyDescent="0.6">
      <c r="B831" s="30" t="s">
        <v>1108</v>
      </c>
    </row>
    <row r="832" spans="1:3" x14ac:dyDescent="0.6">
      <c r="B832" s="30" t="s">
        <v>1109</v>
      </c>
    </row>
    <row r="833" spans="2:5" x14ac:dyDescent="0.6">
      <c r="B833" s="31" t="s">
        <v>1110</v>
      </c>
      <c r="C833" s="31">
        <v>4</v>
      </c>
    </row>
    <row r="834" spans="2:5" ht="30.9" x14ac:dyDescent="0.8">
      <c r="B834" s="159" t="s">
        <v>1091</v>
      </c>
      <c r="C834" s="159"/>
    </row>
    <row r="836" spans="2:5" x14ac:dyDescent="0.6">
      <c r="C836" s="30" t="s">
        <v>1263</v>
      </c>
    </row>
    <row r="837" spans="2:5" x14ac:dyDescent="0.6">
      <c r="C837" s="31" t="s">
        <v>856</v>
      </c>
      <c r="D837" s="31" t="s">
        <v>857</v>
      </c>
      <c r="E837" s="31" t="s">
        <v>857</v>
      </c>
    </row>
    <row r="838" spans="2:5" x14ac:dyDescent="0.6">
      <c r="C838" s="31">
        <v>0</v>
      </c>
      <c r="D838" s="31">
        <f>EXP(-$C$833)*($C$833^C838)/FACT(C838)</f>
        <v>1.8315638888734179E-2</v>
      </c>
      <c r="E838" s="31">
        <f>_xlfn.POISSON.DIST(C838,$C$833,0)</f>
        <v>1.8315638888734179E-2</v>
      </c>
    </row>
    <row r="839" spans="2:5" x14ac:dyDescent="0.6">
      <c r="C839" s="31">
        <v>1</v>
      </c>
      <c r="D839" s="31">
        <f t="shared" ref="D839:D858" si="25">EXP(-$C$833)*($C$833^C839)/FACT(C839)</f>
        <v>7.3262555554936715E-2</v>
      </c>
      <c r="E839" s="31">
        <f t="shared" ref="E839:E858" si="26">_xlfn.POISSON.DIST(C839,$C$833,0)</f>
        <v>7.3262555554936715E-2</v>
      </c>
    </row>
    <row r="840" spans="2:5" x14ac:dyDescent="0.6">
      <c r="C840" s="31">
        <v>2</v>
      </c>
      <c r="D840" s="31">
        <f t="shared" si="25"/>
        <v>0.14652511110987343</v>
      </c>
      <c r="E840" s="31">
        <f t="shared" si="26"/>
        <v>0.14652511110987346</v>
      </c>
    </row>
    <row r="841" spans="2:5" x14ac:dyDescent="0.6">
      <c r="C841" s="31">
        <v>3</v>
      </c>
      <c r="D841" s="31">
        <f t="shared" si="25"/>
        <v>0.19536681481316456</v>
      </c>
      <c r="E841" s="31">
        <f t="shared" si="26"/>
        <v>0.19536681481316462</v>
      </c>
    </row>
    <row r="842" spans="2:5" x14ac:dyDescent="0.6">
      <c r="C842" s="31">
        <v>4</v>
      </c>
      <c r="D842" s="31">
        <f t="shared" si="25"/>
        <v>0.19536681481316456</v>
      </c>
      <c r="E842" s="31">
        <f t="shared" si="26"/>
        <v>0.19536681481316462</v>
      </c>
    </row>
    <row r="843" spans="2:5" x14ac:dyDescent="0.6">
      <c r="C843" s="31">
        <v>5</v>
      </c>
      <c r="D843" s="31">
        <f t="shared" si="25"/>
        <v>0.15629345185053165</v>
      </c>
      <c r="E843" s="31">
        <f t="shared" si="26"/>
        <v>0.1562934518505317</v>
      </c>
    </row>
    <row r="844" spans="2:5" x14ac:dyDescent="0.6">
      <c r="C844" s="31">
        <v>6</v>
      </c>
      <c r="D844" s="31">
        <f t="shared" si="25"/>
        <v>0.10419563456702111</v>
      </c>
      <c r="E844" s="31">
        <f t="shared" si="26"/>
        <v>0.10419563456702115</v>
      </c>
    </row>
    <row r="845" spans="2:5" x14ac:dyDescent="0.6">
      <c r="C845" s="31">
        <v>7</v>
      </c>
      <c r="D845" s="31">
        <f t="shared" si="25"/>
        <v>5.9540362609726345E-2</v>
      </c>
      <c r="E845" s="31">
        <f t="shared" si="26"/>
        <v>5.9540362609726373E-2</v>
      </c>
    </row>
    <row r="846" spans="2:5" x14ac:dyDescent="0.6">
      <c r="C846" s="31">
        <v>8</v>
      </c>
      <c r="D846" s="31">
        <f t="shared" si="25"/>
        <v>2.9770181304863173E-2</v>
      </c>
      <c r="E846" s="31">
        <f t="shared" si="26"/>
        <v>2.9770181304863183E-2</v>
      </c>
    </row>
    <row r="847" spans="2:5" x14ac:dyDescent="0.6">
      <c r="C847" s="31">
        <v>9</v>
      </c>
      <c r="D847" s="31">
        <f t="shared" si="25"/>
        <v>1.3231191691050298E-2</v>
      </c>
      <c r="E847" s="31">
        <f t="shared" si="26"/>
        <v>1.3231191691050297E-2</v>
      </c>
    </row>
    <row r="848" spans="2:5" x14ac:dyDescent="0.6">
      <c r="C848" s="31">
        <v>10</v>
      </c>
      <c r="D848" s="31">
        <f t="shared" si="25"/>
        <v>5.2924766764201195E-3</v>
      </c>
      <c r="E848" s="31">
        <f t="shared" si="26"/>
        <v>5.2924766764201169E-3</v>
      </c>
    </row>
    <row r="849" spans="1:5" x14ac:dyDescent="0.6">
      <c r="C849" s="31">
        <v>11</v>
      </c>
      <c r="D849" s="31">
        <f t="shared" si="25"/>
        <v>1.9245369732436798E-3</v>
      </c>
      <c r="E849" s="31">
        <f t="shared" si="26"/>
        <v>1.9245369732436813E-3</v>
      </c>
    </row>
    <row r="850" spans="1:5" x14ac:dyDescent="0.6">
      <c r="C850" s="31">
        <v>12</v>
      </c>
      <c r="D850" s="31">
        <f t="shared" si="25"/>
        <v>6.4151232441456E-4</v>
      </c>
      <c r="E850" s="31">
        <f t="shared" si="26"/>
        <v>6.4151232441456022E-4</v>
      </c>
    </row>
    <row r="851" spans="1:5" x14ac:dyDescent="0.6">
      <c r="C851" s="31">
        <v>13</v>
      </c>
      <c r="D851" s="31">
        <f t="shared" si="25"/>
        <v>1.9738840751217228E-4</v>
      </c>
      <c r="E851" s="31">
        <f t="shared" si="26"/>
        <v>1.9738840751217212E-4</v>
      </c>
    </row>
    <row r="852" spans="1:5" x14ac:dyDescent="0.6">
      <c r="C852" s="31">
        <v>14</v>
      </c>
      <c r="D852" s="31">
        <f t="shared" si="25"/>
        <v>5.6396687860620656E-5</v>
      </c>
      <c r="E852" s="31">
        <f t="shared" si="26"/>
        <v>5.6396687860620615E-5</v>
      </c>
    </row>
    <row r="853" spans="1:5" x14ac:dyDescent="0.6">
      <c r="C853" s="31">
        <v>15</v>
      </c>
      <c r="D853" s="31">
        <f t="shared" si="25"/>
        <v>1.5039116762832175E-5</v>
      </c>
      <c r="E853" s="31">
        <f t="shared" si="26"/>
        <v>1.5039116762832177E-5</v>
      </c>
    </row>
    <row r="854" spans="1:5" x14ac:dyDescent="0.6">
      <c r="C854" s="31">
        <v>16</v>
      </c>
      <c r="D854" s="31">
        <f t="shared" si="25"/>
        <v>3.7597791907080438E-6</v>
      </c>
      <c r="E854" s="31">
        <f t="shared" si="26"/>
        <v>3.7597791907080502E-6</v>
      </c>
    </row>
    <row r="855" spans="1:5" x14ac:dyDescent="0.6">
      <c r="C855" s="31">
        <v>17</v>
      </c>
      <c r="D855" s="31">
        <f t="shared" si="25"/>
        <v>8.8465392722542207E-7</v>
      </c>
      <c r="E855" s="31">
        <f t="shared" si="26"/>
        <v>8.8465392722542387E-7</v>
      </c>
    </row>
    <row r="856" spans="1:5" x14ac:dyDescent="0.6">
      <c r="C856" s="31">
        <v>18</v>
      </c>
      <c r="D856" s="31">
        <f t="shared" si="25"/>
        <v>1.9658976160564933E-7</v>
      </c>
      <c r="E856" s="31">
        <f t="shared" si="26"/>
        <v>1.9658976160564875E-7</v>
      </c>
    </row>
    <row r="857" spans="1:5" x14ac:dyDescent="0.6">
      <c r="C857" s="31">
        <v>19</v>
      </c>
      <c r="D857" s="31">
        <f t="shared" si="25"/>
        <v>4.1387318232768281E-8</v>
      </c>
      <c r="E857" s="31">
        <f t="shared" si="26"/>
        <v>4.1387318232768188E-8</v>
      </c>
    </row>
    <row r="858" spans="1:5" x14ac:dyDescent="0.6">
      <c r="C858" s="31">
        <v>20</v>
      </c>
      <c r="D858" s="31">
        <f t="shared" si="25"/>
        <v>8.2774636465536562E-9</v>
      </c>
      <c r="E858" s="31">
        <f t="shared" si="26"/>
        <v>8.2774636465536645E-9</v>
      </c>
    </row>
    <row r="859" spans="1:5" x14ac:dyDescent="0.6">
      <c r="D859" s="32">
        <f>SUM(D838:D858)</f>
        <v>0.99999999807694129</v>
      </c>
      <c r="E859" s="32">
        <f>SUM(E838:E858)</f>
        <v>0.99999999807694162</v>
      </c>
    </row>
    <row r="861" spans="1:5" x14ac:dyDescent="0.6">
      <c r="A861" s="30" t="s">
        <v>1011</v>
      </c>
      <c r="B861" s="30" t="s">
        <v>1104</v>
      </c>
      <c r="D861" s="85">
        <f>D838</f>
        <v>1.8315638888734179E-2</v>
      </c>
      <c r="E861" s="85">
        <f>_xlfn.POISSON.DIST(0,4,0)</f>
        <v>1.8315638888734179E-2</v>
      </c>
    </row>
    <row r="862" spans="1:5" x14ac:dyDescent="0.6">
      <c r="A862" s="30" t="s">
        <v>1013</v>
      </c>
      <c r="B862" s="30" t="s">
        <v>1105</v>
      </c>
      <c r="D862" s="85">
        <f>1-SUM(D838:D839)</f>
        <v>0.90842180555632912</v>
      </c>
      <c r="E862" s="85">
        <f>1-_xlfn.POISSON.DIST(1,4,1)</f>
        <v>0.90842180555632912</v>
      </c>
    </row>
    <row r="863" spans="1:5" x14ac:dyDescent="0.6">
      <c r="A863" s="30" t="s">
        <v>1015</v>
      </c>
      <c r="B863" s="30" t="s">
        <v>1106</v>
      </c>
      <c r="D863" s="85">
        <f>SUM(D838:D840)</f>
        <v>0.23810330555354431</v>
      </c>
      <c r="E863" s="85">
        <f>_xlfn.POISSON.DIST(2,4,1)</f>
        <v>0.23810330555354431</v>
      </c>
    </row>
    <row r="866" spans="1:3" x14ac:dyDescent="0.6">
      <c r="A866" s="30" t="s">
        <v>67</v>
      </c>
      <c r="B866" s="30" t="s">
        <v>1111</v>
      </c>
    </row>
    <row r="867" spans="1:3" x14ac:dyDescent="0.6">
      <c r="A867" s="30" t="s">
        <v>1011</v>
      </c>
      <c r="B867" s="30" t="s">
        <v>1112</v>
      </c>
    </row>
    <row r="868" spans="1:3" x14ac:dyDescent="0.6">
      <c r="A868" s="30" t="s">
        <v>1013</v>
      </c>
      <c r="B868" s="30" t="s">
        <v>1113</v>
      </c>
    </row>
    <row r="869" spans="1:3" x14ac:dyDescent="0.6">
      <c r="A869" s="30" t="s">
        <v>1015</v>
      </c>
      <c r="B869" s="30" t="s">
        <v>1114</v>
      </c>
    </row>
    <row r="870" spans="1:3" x14ac:dyDescent="0.6">
      <c r="B870" s="30" t="s">
        <v>1115</v>
      </c>
    </row>
    <row r="872" spans="1:3" x14ac:dyDescent="0.6">
      <c r="B872" s="30" t="s">
        <v>1116</v>
      </c>
    </row>
    <row r="873" spans="1:3" x14ac:dyDescent="0.6">
      <c r="B873" s="30" t="s">
        <v>1117</v>
      </c>
    </row>
    <row r="874" spans="1:3" x14ac:dyDescent="0.6">
      <c r="B874" s="30" t="s">
        <v>1109</v>
      </c>
    </row>
    <row r="875" spans="1:3" x14ac:dyDescent="0.6">
      <c r="B875" s="31" t="s">
        <v>1110</v>
      </c>
      <c r="C875" s="31">
        <v>20</v>
      </c>
    </row>
    <row r="877" spans="1:3" ht="26.15" x14ac:dyDescent="0.7">
      <c r="B877" s="50" t="s">
        <v>1091</v>
      </c>
    </row>
    <row r="878" spans="1:3" x14ac:dyDescent="0.6">
      <c r="B878" s="30" t="s">
        <v>1118</v>
      </c>
    </row>
    <row r="879" spans="1:3" x14ac:dyDescent="0.6">
      <c r="B879" s="31" t="s">
        <v>856</v>
      </c>
      <c r="C879" s="31" t="s">
        <v>857</v>
      </c>
    </row>
    <row r="880" spans="1:3" x14ac:dyDescent="0.6">
      <c r="B880" s="31">
        <v>0</v>
      </c>
      <c r="C880" s="31">
        <f>_xlfn.POISSON.DIST(B880,$C$875,0)</f>
        <v>2.0611536224385579E-9</v>
      </c>
    </row>
    <row r="881" spans="2:3" x14ac:dyDescent="0.6">
      <c r="B881" s="31">
        <v>1</v>
      </c>
      <c r="C881" s="31">
        <f t="shared" ref="C881:C930" si="27">_xlfn.POISSON.DIST(B881,$C$875,0)</f>
        <v>4.1223072448771152E-8</v>
      </c>
    </row>
    <row r="882" spans="2:3" x14ac:dyDescent="0.6">
      <c r="B882" s="31">
        <v>2</v>
      </c>
      <c r="C882" s="31">
        <f t="shared" si="27"/>
        <v>4.1223072448771121E-7</v>
      </c>
    </row>
    <row r="883" spans="2:3" x14ac:dyDescent="0.6">
      <c r="B883" s="31">
        <v>3</v>
      </c>
      <c r="C883" s="31">
        <f t="shared" si="27"/>
        <v>2.7482048299180789E-6</v>
      </c>
    </row>
    <row r="884" spans="2:3" x14ac:dyDescent="0.6">
      <c r="B884" s="31">
        <v>4</v>
      </c>
      <c r="C884" s="31">
        <f t="shared" si="27"/>
        <v>1.3741024149590403E-5</v>
      </c>
    </row>
    <row r="885" spans="2:3" x14ac:dyDescent="0.6">
      <c r="B885" s="31">
        <v>5</v>
      </c>
      <c r="C885" s="31">
        <f t="shared" si="27"/>
        <v>5.4964096598361591E-5</v>
      </c>
    </row>
    <row r="886" spans="2:3" x14ac:dyDescent="0.6">
      <c r="B886" s="31">
        <v>6</v>
      </c>
      <c r="C886" s="31">
        <f t="shared" si="27"/>
        <v>1.8321365532787196E-4</v>
      </c>
    </row>
    <row r="887" spans="2:3" x14ac:dyDescent="0.6">
      <c r="B887" s="31">
        <v>7</v>
      </c>
      <c r="C887" s="31">
        <f t="shared" si="27"/>
        <v>5.2346758665106302E-4</v>
      </c>
    </row>
    <row r="888" spans="2:3" x14ac:dyDescent="0.6">
      <c r="B888" s="31">
        <v>8</v>
      </c>
      <c r="C888" s="31">
        <f t="shared" si="27"/>
        <v>1.3086689666276553E-3</v>
      </c>
    </row>
    <row r="889" spans="2:3" x14ac:dyDescent="0.6">
      <c r="B889" s="31">
        <v>9</v>
      </c>
      <c r="C889" s="31">
        <f t="shared" si="27"/>
        <v>2.9081532591725681E-3</v>
      </c>
    </row>
    <row r="890" spans="2:3" x14ac:dyDescent="0.6">
      <c r="B890" s="31">
        <v>10</v>
      </c>
      <c r="C890" s="31">
        <f t="shared" si="27"/>
        <v>5.8163065183451353E-3</v>
      </c>
    </row>
    <row r="891" spans="2:3" x14ac:dyDescent="0.6">
      <c r="B891" s="31">
        <v>11</v>
      </c>
      <c r="C891" s="31">
        <f t="shared" si="27"/>
        <v>1.0575102760627515E-2</v>
      </c>
    </row>
    <row r="892" spans="2:3" x14ac:dyDescent="0.6">
      <c r="B892" s="31">
        <v>12</v>
      </c>
      <c r="C892" s="31">
        <f t="shared" si="27"/>
        <v>1.7625171267712545E-2</v>
      </c>
    </row>
    <row r="893" spans="2:3" x14ac:dyDescent="0.6">
      <c r="B893" s="31">
        <v>13</v>
      </c>
      <c r="C893" s="31">
        <f t="shared" si="27"/>
        <v>2.7115648104173135E-2</v>
      </c>
    </row>
    <row r="894" spans="2:3" x14ac:dyDescent="0.6">
      <c r="B894" s="31">
        <v>14</v>
      </c>
      <c r="C894" s="31">
        <f t="shared" si="27"/>
        <v>3.8736640148818745E-2</v>
      </c>
    </row>
    <row r="895" spans="2:3" x14ac:dyDescent="0.6">
      <c r="B895" s="31">
        <v>15</v>
      </c>
      <c r="C895" s="31">
        <f t="shared" si="27"/>
        <v>5.1648853531758354E-2</v>
      </c>
    </row>
    <row r="896" spans="2:3" x14ac:dyDescent="0.6">
      <c r="B896" s="31">
        <v>16</v>
      </c>
      <c r="C896" s="31">
        <f t="shared" si="27"/>
        <v>6.4561066914697929E-2</v>
      </c>
    </row>
    <row r="897" spans="2:3" x14ac:dyDescent="0.6">
      <c r="B897" s="31">
        <v>17</v>
      </c>
      <c r="C897" s="31">
        <f t="shared" si="27"/>
        <v>7.595419637023286E-2</v>
      </c>
    </row>
    <row r="898" spans="2:3" x14ac:dyDescent="0.6">
      <c r="B898" s="31">
        <v>18</v>
      </c>
      <c r="C898" s="31">
        <f t="shared" si="27"/>
        <v>8.4393551522480972E-2</v>
      </c>
    </row>
    <row r="899" spans="2:3" x14ac:dyDescent="0.6">
      <c r="B899" s="32">
        <v>19</v>
      </c>
      <c r="C899" s="31">
        <f t="shared" si="27"/>
        <v>8.8835317392085208E-2</v>
      </c>
    </row>
    <row r="900" spans="2:3" x14ac:dyDescent="0.6">
      <c r="B900" s="32">
        <v>20</v>
      </c>
      <c r="C900" s="31">
        <f t="shared" si="27"/>
        <v>8.8835317392085222E-2</v>
      </c>
    </row>
    <row r="901" spans="2:3" x14ac:dyDescent="0.6">
      <c r="B901" s="31">
        <v>21</v>
      </c>
      <c r="C901" s="31">
        <f t="shared" si="27"/>
        <v>8.4605064182938283E-2</v>
      </c>
    </row>
    <row r="902" spans="2:3" x14ac:dyDescent="0.6">
      <c r="B902" s="31">
        <v>22</v>
      </c>
      <c r="C902" s="31">
        <f t="shared" si="27"/>
        <v>7.6913694711762098E-2</v>
      </c>
    </row>
    <row r="903" spans="2:3" x14ac:dyDescent="0.6">
      <c r="B903" s="31">
        <v>23</v>
      </c>
      <c r="C903" s="31">
        <f t="shared" si="27"/>
        <v>6.6881473662401839E-2</v>
      </c>
    </row>
    <row r="904" spans="2:3" x14ac:dyDescent="0.6">
      <c r="B904" s="31">
        <v>24</v>
      </c>
      <c r="C904" s="31">
        <f t="shared" si="27"/>
        <v>5.5734561385334863E-2</v>
      </c>
    </row>
    <row r="905" spans="2:3" x14ac:dyDescent="0.6">
      <c r="B905" s="31">
        <v>25</v>
      </c>
      <c r="C905" s="31">
        <f t="shared" si="27"/>
        <v>4.4587649108267881E-2</v>
      </c>
    </row>
    <row r="906" spans="2:3" x14ac:dyDescent="0.6">
      <c r="B906" s="31">
        <v>26</v>
      </c>
      <c r="C906" s="31">
        <f t="shared" si="27"/>
        <v>3.4298191621744509E-2</v>
      </c>
    </row>
    <row r="907" spans="2:3" x14ac:dyDescent="0.6">
      <c r="B907" s="31">
        <v>27</v>
      </c>
      <c r="C907" s="31">
        <f t="shared" si="27"/>
        <v>2.5406067867958917E-2</v>
      </c>
    </row>
    <row r="908" spans="2:3" x14ac:dyDescent="0.6">
      <c r="B908" s="31">
        <v>28</v>
      </c>
      <c r="C908" s="31">
        <f t="shared" si="27"/>
        <v>1.8147191334256366E-2</v>
      </c>
    </row>
    <row r="909" spans="2:3" x14ac:dyDescent="0.6">
      <c r="B909" s="31">
        <v>29</v>
      </c>
      <c r="C909" s="31">
        <f t="shared" si="27"/>
        <v>1.2515304368452655E-2</v>
      </c>
    </row>
    <row r="910" spans="2:3" x14ac:dyDescent="0.6">
      <c r="B910" s="31">
        <v>30</v>
      </c>
      <c r="C910" s="31">
        <f t="shared" si="27"/>
        <v>8.3435362456351133E-3</v>
      </c>
    </row>
    <row r="911" spans="2:3" x14ac:dyDescent="0.6">
      <c r="B911" s="31">
        <v>31</v>
      </c>
      <c r="C911" s="31">
        <f t="shared" si="27"/>
        <v>5.3829266100871558E-3</v>
      </c>
    </row>
    <row r="912" spans="2:3" x14ac:dyDescent="0.6">
      <c r="B912" s="31">
        <v>32</v>
      </c>
      <c r="C912" s="31">
        <f t="shared" si="27"/>
        <v>3.3643291313044709E-3</v>
      </c>
    </row>
    <row r="913" spans="2:3" x14ac:dyDescent="0.6">
      <c r="B913" s="31">
        <v>33</v>
      </c>
      <c r="C913" s="31">
        <f t="shared" si="27"/>
        <v>2.0389873523057505E-3</v>
      </c>
    </row>
    <row r="914" spans="2:3" x14ac:dyDescent="0.6">
      <c r="B914" s="31">
        <v>34</v>
      </c>
      <c r="C914" s="31">
        <f t="shared" si="27"/>
        <v>1.199404324885734E-3</v>
      </c>
    </row>
    <row r="915" spans="2:3" x14ac:dyDescent="0.6">
      <c r="B915" s="31">
        <v>35</v>
      </c>
      <c r="C915" s="31">
        <f t="shared" si="27"/>
        <v>6.8537389993470344E-4</v>
      </c>
    </row>
    <row r="916" spans="2:3" x14ac:dyDescent="0.6">
      <c r="B916" s="31">
        <v>36</v>
      </c>
      <c r="C916" s="31">
        <f t="shared" si="27"/>
        <v>3.8076327774150232E-4</v>
      </c>
    </row>
    <row r="917" spans="2:3" x14ac:dyDescent="0.6">
      <c r="B917" s="31">
        <v>37</v>
      </c>
      <c r="C917" s="31">
        <f t="shared" si="27"/>
        <v>2.0581798796837891E-4</v>
      </c>
    </row>
    <row r="918" spans="2:3" x14ac:dyDescent="0.6">
      <c r="B918" s="31">
        <v>38</v>
      </c>
      <c r="C918" s="31">
        <f t="shared" si="27"/>
        <v>1.0832525682546335E-4</v>
      </c>
    </row>
    <row r="919" spans="2:3" x14ac:dyDescent="0.6">
      <c r="B919" s="31">
        <v>39</v>
      </c>
      <c r="C919" s="31">
        <f t="shared" si="27"/>
        <v>5.5551413756647715E-5</v>
      </c>
    </row>
    <row r="920" spans="2:3" x14ac:dyDescent="0.6">
      <c r="B920" s="31">
        <v>40</v>
      </c>
      <c r="C920" s="31">
        <f t="shared" si="27"/>
        <v>2.7775706878323834E-5</v>
      </c>
    </row>
    <row r="921" spans="2:3" x14ac:dyDescent="0.6">
      <c r="B921" s="31">
        <v>41</v>
      </c>
      <c r="C921" s="31">
        <f t="shared" si="27"/>
        <v>1.3549125306499445E-5</v>
      </c>
    </row>
    <row r="922" spans="2:3" x14ac:dyDescent="0.6">
      <c r="B922" s="31">
        <v>42</v>
      </c>
      <c r="C922" s="31">
        <f t="shared" si="27"/>
        <v>6.4519644316664028E-6</v>
      </c>
    </row>
    <row r="923" spans="2:3" x14ac:dyDescent="0.6">
      <c r="B923" s="31">
        <v>43</v>
      </c>
      <c r="C923" s="31">
        <f t="shared" si="27"/>
        <v>3.0009136891471711E-6</v>
      </c>
    </row>
    <row r="924" spans="2:3" x14ac:dyDescent="0.6">
      <c r="B924" s="31">
        <v>44</v>
      </c>
      <c r="C924" s="31">
        <f t="shared" si="27"/>
        <v>1.3640516768850688E-6</v>
      </c>
    </row>
    <row r="925" spans="2:3" x14ac:dyDescent="0.6">
      <c r="B925" s="31">
        <v>45</v>
      </c>
      <c r="C925" s="31">
        <f t="shared" si="27"/>
        <v>6.0624518972670115E-7</v>
      </c>
    </row>
    <row r="926" spans="2:3" x14ac:dyDescent="0.6">
      <c r="B926" s="31">
        <v>46</v>
      </c>
      <c r="C926" s="31">
        <f t="shared" si="27"/>
        <v>2.6358486509856742E-7</v>
      </c>
    </row>
    <row r="927" spans="2:3" x14ac:dyDescent="0.6">
      <c r="B927" s="31">
        <v>47</v>
      </c>
      <c r="C927" s="31">
        <f t="shared" si="27"/>
        <v>1.1216377238236792E-7</v>
      </c>
    </row>
    <row r="928" spans="2:3" x14ac:dyDescent="0.6">
      <c r="B928" s="31">
        <v>48</v>
      </c>
      <c r="C928" s="31">
        <f t="shared" si="27"/>
        <v>4.6734905159320215E-8</v>
      </c>
    </row>
    <row r="929" spans="1:4" x14ac:dyDescent="0.6">
      <c r="B929" s="31">
        <v>49</v>
      </c>
      <c r="C929" s="31">
        <f t="shared" si="27"/>
        <v>1.9075471493599922E-8</v>
      </c>
    </row>
    <row r="930" spans="1:4" x14ac:dyDescent="0.6">
      <c r="B930" s="31">
        <v>50</v>
      </c>
      <c r="C930" s="31">
        <f t="shared" si="27"/>
        <v>7.6301885974399753E-9</v>
      </c>
    </row>
    <row r="931" spans="1:4" x14ac:dyDescent="0.6">
      <c r="C931" s="155">
        <f>SUM(C880:C930)</f>
        <v>0.99999999517126248</v>
      </c>
    </row>
    <row r="934" spans="1:4" x14ac:dyDescent="0.6">
      <c r="A934" s="30" t="s">
        <v>1011</v>
      </c>
      <c r="B934" s="30" t="s">
        <v>1112</v>
      </c>
      <c r="D934" s="156">
        <f>C880</f>
        <v>2.0611536224385579E-9</v>
      </c>
    </row>
    <row r="935" spans="1:4" x14ac:dyDescent="0.6">
      <c r="A935" s="30" t="s">
        <v>1013</v>
      </c>
      <c r="B935" s="30" t="s">
        <v>1119</v>
      </c>
      <c r="D935" s="157">
        <f>1-SUM(C880:C882)</f>
        <v>0.99999954448504946</v>
      </c>
    </row>
    <row r="936" spans="1:4" x14ac:dyDescent="0.6">
      <c r="A936" s="30" t="s">
        <v>1015</v>
      </c>
      <c r="B936" s="30" t="s">
        <v>1114</v>
      </c>
      <c r="D936" s="157">
        <f>SUM(C880:C883)</f>
        <v>3.2037197804769999E-6</v>
      </c>
    </row>
    <row r="938" spans="1:4" ht="26.15" x14ac:dyDescent="0.7">
      <c r="A938" s="1" t="s">
        <v>286</v>
      </c>
      <c r="B938" s="30" t="s">
        <v>1120</v>
      </c>
    </row>
    <row r="939" spans="1:4" x14ac:dyDescent="0.6">
      <c r="A939" s="30" t="s">
        <v>1011</v>
      </c>
      <c r="B939" s="30" t="s">
        <v>1121</v>
      </c>
    </row>
    <row r="940" spans="1:4" x14ac:dyDescent="0.6">
      <c r="A940" s="30" t="s">
        <v>1013</v>
      </c>
      <c r="B940" s="30" t="s">
        <v>1122</v>
      </c>
    </row>
    <row r="941" spans="1:4" x14ac:dyDescent="0.6">
      <c r="A941" s="30" t="s">
        <v>1015</v>
      </c>
      <c r="B941" s="30" t="s">
        <v>1123</v>
      </c>
    </row>
    <row r="943" spans="1:4" x14ac:dyDescent="0.6">
      <c r="B943" s="30" t="s">
        <v>1124</v>
      </c>
    </row>
    <row r="944" spans="1:4" x14ac:dyDescent="0.6">
      <c r="B944" s="30" t="s">
        <v>1125</v>
      </c>
    </row>
    <row r="945" spans="1:5" x14ac:dyDescent="0.6">
      <c r="B945" s="30" t="s">
        <v>1109</v>
      </c>
    </row>
    <row r="946" spans="1:5" x14ac:dyDescent="0.6">
      <c r="B946" s="31" t="s">
        <v>1110</v>
      </c>
      <c r="C946" s="31">
        <f>1200*0.0002</f>
        <v>0.24000000000000002</v>
      </c>
    </row>
    <row r="947" spans="1:5" ht="26.15" x14ac:dyDescent="0.7">
      <c r="B947" s="50" t="s">
        <v>1091</v>
      </c>
      <c r="C947" s="91"/>
    </row>
    <row r="949" spans="1:5" x14ac:dyDescent="0.6">
      <c r="B949" s="31" t="s">
        <v>856</v>
      </c>
      <c r="C949" s="31" t="s">
        <v>857</v>
      </c>
    </row>
    <row r="950" spans="1:5" x14ac:dyDescent="0.6">
      <c r="B950" s="31">
        <v>0</v>
      </c>
      <c r="C950" s="31">
        <f>_xlfn.POISSON.DIST(B950,$C$946,0)</f>
        <v>0.78662786106655336</v>
      </c>
    </row>
    <row r="951" spans="1:5" x14ac:dyDescent="0.6">
      <c r="B951" s="31">
        <v>1</v>
      </c>
      <c r="C951" s="31">
        <f t="shared" ref="C951:C956" si="28">_xlfn.POISSON.DIST(B951,$C$946,0)</f>
        <v>0.18879068665597284</v>
      </c>
    </row>
    <row r="952" spans="1:5" x14ac:dyDescent="0.6">
      <c r="B952" s="31">
        <v>2</v>
      </c>
      <c r="C952" s="31">
        <f t="shared" si="28"/>
        <v>2.2654882398716741E-2</v>
      </c>
    </row>
    <row r="953" spans="1:5" x14ac:dyDescent="0.6">
      <c r="B953" s="31">
        <v>3</v>
      </c>
      <c r="C953" s="31">
        <f t="shared" si="28"/>
        <v>1.81239059189734E-3</v>
      </c>
    </row>
    <row r="954" spans="1:5" x14ac:dyDescent="0.6">
      <c r="B954" s="31">
        <v>4</v>
      </c>
      <c r="C954" s="31">
        <f t="shared" si="28"/>
        <v>1.0874343551384039E-4</v>
      </c>
    </row>
    <row r="955" spans="1:5" x14ac:dyDescent="0.6">
      <c r="B955" s="31">
        <v>5</v>
      </c>
      <c r="C955" s="31">
        <f t="shared" si="28"/>
        <v>5.2196849046643411E-6</v>
      </c>
    </row>
    <row r="956" spans="1:5" x14ac:dyDescent="0.6">
      <c r="B956" s="31">
        <v>6</v>
      </c>
      <c r="C956" s="31">
        <f t="shared" si="28"/>
        <v>2.087873961865736E-7</v>
      </c>
    </row>
    <row r="957" spans="1:5" x14ac:dyDescent="0.6">
      <c r="B957" s="31"/>
      <c r="C957" s="32">
        <f>SUM(C950:C956)</f>
        <v>0.99999999262095485</v>
      </c>
    </row>
    <row r="959" spans="1:5" x14ac:dyDescent="0.6">
      <c r="A959" s="30" t="s">
        <v>1011</v>
      </c>
      <c r="B959" s="30" t="s">
        <v>1121</v>
      </c>
      <c r="E959" s="143">
        <f>C950</f>
        <v>0.78662786106655336</v>
      </c>
    </row>
    <row r="960" spans="1:5" x14ac:dyDescent="0.6">
      <c r="A960" s="30" t="s">
        <v>1013</v>
      </c>
      <c r="B960" s="30" t="s">
        <v>1122</v>
      </c>
      <c r="E960" s="157">
        <f>1-SUM(C950:C954)</f>
        <v>5.4358513459362712E-6</v>
      </c>
    </row>
    <row r="961" spans="1:6" x14ac:dyDescent="0.6">
      <c r="A961" s="30" t="s">
        <v>1015</v>
      </c>
      <c r="B961" s="30" t="s">
        <v>1123</v>
      </c>
      <c r="E961" s="157">
        <f>SUM(C950:C955)</f>
        <v>0.9999997838335587</v>
      </c>
    </row>
    <row r="963" spans="1:6" x14ac:dyDescent="0.6">
      <c r="A963" s="30" t="s">
        <v>298</v>
      </c>
      <c r="B963" s="30" t="s">
        <v>1126</v>
      </c>
    </row>
    <row r="964" spans="1:6" x14ac:dyDescent="0.6">
      <c r="A964"/>
      <c r="B964" s="30" t="s">
        <v>1127</v>
      </c>
    </row>
    <row r="965" spans="1:6" x14ac:dyDescent="0.6">
      <c r="A965"/>
      <c r="B965" s="30" t="s">
        <v>1128</v>
      </c>
    </row>
    <row r="966" spans="1:6" x14ac:dyDescent="0.6">
      <c r="A966" s="102" t="s">
        <v>430</v>
      </c>
      <c r="B966" s="30" t="s">
        <v>1129</v>
      </c>
      <c r="E966" s="143"/>
    </row>
    <row r="967" spans="1:6" x14ac:dyDescent="0.6">
      <c r="A967" s="102" t="s">
        <v>432</v>
      </c>
      <c r="B967" s="30" t="s">
        <v>1130</v>
      </c>
      <c r="E967" s="143"/>
    </row>
    <row r="969" spans="1:6" x14ac:dyDescent="0.6">
      <c r="B969" s="30" t="s">
        <v>1131</v>
      </c>
    </row>
    <row r="970" spans="1:6" x14ac:dyDescent="0.6">
      <c r="B970" s="30" t="s">
        <v>1132</v>
      </c>
    </row>
    <row r="971" spans="1:6" x14ac:dyDescent="0.6">
      <c r="B971" s="30" t="s">
        <v>1133</v>
      </c>
    </row>
    <row r="972" spans="1:6" x14ac:dyDescent="0.6">
      <c r="B972" s="31" t="s">
        <v>1134</v>
      </c>
      <c r="C972" s="37">
        <f>900*0.0002</f>
        <v>0.18000000000000002</v>
      </c>
    </row>
    <row r="973" spans="1:6" x14ac:dyDescent="0.6">
      <c r="E973" s="39" t="s">
        <v>1135</v>
      </c>
      <c r="F973" s="39" t="s">
        <v>893</v>
      </c>
    </row>
    <row r="974" spans="1:6" x14ac:dyDescent="0.6">
      <c r="A974" s="102" t="s">
        <v>430</v>
      </c>
      <c r="B974" s="30" t="s">
        <v>1129</v>
      </c>
      <c r="E974" s="143">
        <f>1-_xlfn.POISSON.DIST(1,C972,1)</f>
        <v>1.4381150534699016E-2</v>
      </c>
      <c r="F974" s="143">
        <f>1-_xlfn.BINOM.DIST(1,900,0.0002,1)</f>
        <v>1.4368818678788919E-2</v>
      </c>
    </row>
    <row r="975" spans="1:6" x14ac:dyDescent="0.6">
      <c r="A975" s="102" t="s">
        <v>432</v>
      </c>
      <c r="B975" s="30" t="s">
        <v>1130</v>
      </c>
      <c r="E975" s="158">
        <f>_xlfn.POISSON.DIST(3,C972,1)</f>
        <v>0.99996210953565534</v>
      </c>
      <c r="F975" s="158">
        <f>_xlfn.BINOM.DIST(3,900,0.0002,1)</f>
        <v>0.9999623381200895</v>
      </c>
    </row>
    <row r="978" spans="1:4" x14ac:dyDescent="0.6">
      <c r="B978" s="30" t="s">
        <v>1136</v>
      </c>
    </row>
    <row r="979" spans="1:4" x14ac:dyDescent="0.6">
      <c r="B979" s="30" t="s">
        <v>1137</v>
      </c>
    </row>
    <row r="980" spans="1:4" x14ac:dyDescent="0.6">
      <c r="B980" s="30" t="s">
        <v>1138</v>
      </c>
    </row>
    <row r="982" spans="1:4" x14ac:dyDescent="0.6">
      <c r="B982" s="30" t="s">
        <v>1139</v>
      </c>
    </row>
    <row r="983" spans="1:4" x14ac:dyDescent="0.6">
      <c r="B983" s="30" t="s">
        <v>1140</v>
      </c>
    </row>
    <row r="984" spans="1:4" x14ac:dyDescent="0.6">
      <c r="B984" s="30" t="s">
        <v>1141</v>
      </c>
    </row>
    <row r="986" spans="1:4" ht="61.3" x14ac:dyDescent="1.55">
      <c r="B986" s="104" t="s">
        <v>1264</v>
      </c>
    </row>
    <row r="987" spans="1:4" x14ac:dyDescent="0.6">
      <c r="B987" s="30" t="s">
        <v>966</v>
      </c>
    </row>
    <row r="988" spans="1:4" x14ac:dyDescent="0.6">
      <c r="A988" s="91">
        <v>1</v>
      </c>
      <c r="B988" s="91" t="s">
        <v>968</v>
      </c>
      <c r="C988" s="91"/>
    </row>
    <row r="989" spans="1:4" x14ac:dyDescent="0.6">
      <c r="A989" s="91">
        <v>2</v>
      </c>
      <c r="B989" s="91" t="s">
        <v>970</v>
      </c>
      <c r="C989" s="91"/>
      <c r="D989" s="91"/>
    </row>
    <row r="990" spans="1:4" x14ac:dyDescent="0.6">
      <c r="A990" s="30">
        <v>3</v>
      </c>
      <c r="B990" s="30" t="s">
        <v>972</v>
      </c>
    </row>
    <row r="992" spans="1:4" ht="33.450000000000003" x14ac:dyDescent="0.85">
      <c r="A992" s="29">
        <v>1</v>
      </c>
      <c r="B992" s="29" t="s">
        <v>968</v>
      </c>
    </row>
    <row r="994" spans="2:5" x14ac:dyDescent="0.6">
      <c r="C994" s="39" t="s">
        <v>1142</v>
      </c>
    </row>
    <row r="1002" spans="2:5" x14ac:dyDescent="0.6">
      <c r="C1002" s="30" t="s">
        <v>1143</v>
      </c>
      <c r="D1002" s="30" t="s">
        <v>1144</v>
      </c>
      <c r="E1002" s="108" t="s">
        <v>856</v>
      </c>
    </row>
    <row r="1004" spans="2:5" x14ac:dyDescent="0.6">
      <c r="D1004" s="30" t="s">
        <v>1145</v>
      </c>
    </row>
    <row r="1006" spans="2:5" x14ac:dyDescent="0.6">
      <c r="B1006" s="30" t="s">
        <v>1146</v>
      </c>
    </row>
    <row r="1007" spans="2:5" x14ac:dyDescent="0.6">
      <c r="B1007" s="30" t="s">
        <v>1147</v>
      </c>
    </row>
    <row r="1008" spans="2:5" x14ac:dyDescent="0.6">
      <c r="B1008" s="30" t="s">
        <v>1148</v>
      </c>
    </row>
    <row r="1009" spans="2:4" x14ac:dyDescent="0.6">
      <c r="B1009" s="30" t="s">
        <v>1149</v>
      </c>
    </row>
    <row r="1010" spans="2:4" x14ac:dyDescent="0.6">
      <c r="B1010" s="30" t="s">
        <v>1150</v>
      </c>
    </row>
    <row r="1011" spans="2:4" ht="30.9" x14ac:dyDescent="0.8">
      <c r="B1011" s="159" t="s">
        <v>1151</v>
      </c>
      <c r="C1011" s="91"/>
      <c r="D1011" s="91"/>
    </row>
    <row r="1012" spans="2:4" x14ac:dyDescent="0.6">
      <c r="B1012" s="30" t="s">
        <v>1152</v>
      </c>
    </row>
    <row r="1014" spans="2:4" x14ac:dyDescent="0.6">
      <c r="B1014" s="30" t="s">
        <v>1153</v>
      </c>
    </row>
    <row r="1016" spans="2:4" x14ac:dyDescent="0.6">
      <c r="B1016" s="30" t="s">
        <v>1154</v>
      </c>
    </row>
    <row r="1017" spans="2:4" x14ac:dyDescent="0.6">
      <c r="B1017" s="30" t="s">
        <v>1155</v>
      </c>
    </row>
    <row r="1018" spans="2:4" x14ac:dyDescent="0.6">
      <c r="B1018" s="30" t="s">
        <v>1156</v>
      </c>
    </row>
    <row r="1019" spans="2:4" x14ac:dyDescent="0.6">
      <c r="B1019" s="30" t="s">
        <v>1157</v>
      </c>
    </row>
    <row r="1020" spans="2:4" x14ac:dyDescent="0.6">
      <c r="B1020" s="30" t="s">
        <v>1158</v>
      </c>
    </row>
    <row r="1021" spans="2:4" x14ac:dyDescent="0.6">
      <c r="B1021" s="30" t="s">
        <v>1159</v>
      </c>
    </row>
    <row r="1023" spans="2:4" x14ac:dyDescent="0.6">
      <c r="B1023" s="30" t="s">
        <v>1160</v>
      </c>
    </row>
    <row r="1024" spans="2:4" x14ac:dyDescent="0.6">
      <c r="B1024" s="30" t="s">
        <v>1161</v>
      </c>
    </row>
    <row r="1025" spans="1:2" x14ac:dyDescent="0.6">
      <c r="B1025" s="30" t="s">
        <v>1162</v>
      </c>
    </row>
    <row r="1026" spans="1:2" x14ac:dyDescent="0.6">
      <c r="B1026" s="30" t="s">
        <v>1163</v>
      </c>
    </row>
    <row r="1027" spans="1:2" x14ac:dyDescent="0.6">
      <c r="B1027" s="30" t="s">
        <v>1164</v>
      </c>
    </row>
    <row r="1028" spans="1:2" x14ac:dyDescent="0.6">
      <c r="B1028" s="30" t="s">
        <v>1165</v>
      </c>
    </row>
    <row r="1030" spans="1:2" x14ac:dyDescent="0.6">
      <c r="A1030" s="30" t="s">
        <v>16</v>
      </c>
      <c r="B1030" s="30" t="s">
        <v>1166</v>
      </c>
    </row>
    <row r="1031" spans="1:2" x14ac:dyDescent="0.6">
      <c r="B1031" s="30" t="s">
        <v>1167</v>
      </c>
    </row>
    <row r="1032" spans="1:2" x14ac:dyDescent="0.6">
      <c r="A1032" s="30" t="s">
        <v>430</v>
      </c>
      <c r="B1032" s="30" t="s">
        <v>1168</v>
      </c>
    </row>
    <row r="1033" spans="1:2" x14ac:dyDescent="0.6">
      <c r="A1033" s="30" t="s">
        <v>432</v>
      </c>
      <c r="B1033" s="30" t="s">
        <v>1169</v>
      </c>
    </row>
    <row r="1034" spans="1:2" x14ac:dyDescent="0.6">
      <c r="A1034" s="30" t="s">
        <v>435</v>
      </c>
      <c r="B1034" s="30" t="s">
        <v>1170</v>
      </c>
    </row>
    <row r="1036" spans="1:2" x14ac:dyDescent="0.6">
      <c r="B1036" s="30" t="s">
        <v>1171</v>
      </c>
    </row>
    <row r="1038" spans="1:2" x14ac:dyDescent="0.6">
      <c r="A1038" s="30" t="s">
        <v>430</v>
      </c>
      <c r="B1038" s="30" t="s">
        <v>1168</v>
      </c>
    </row>
    <row r="1039" spans="1:2" ht="25.3" x14ac:dyDescent="0.65">
      <c r="B1039" s="30" t="s">
        <v>1172</v>
      </c>
    </row>
    <row r="1041" spans="1:3" x14ac:dyDescent="0.6">
      <c r="A1041" s="30" t="s">
        <v>432</v>
      </c>
      <c r="B1041" s="30" t="s">
        <v>1169</v>
      </c>
    </row>
    <row r="1042" spans="1:3" x14ac:dyDescent="0.6">
      <c r="B1042" s="30" t="s">
        <v>1173</v>
      </c>
    </row>
    <row r="1044" spans="1:3" x14ac:dyDescent="0.6">
      <c r="A1044" s="30" t="s">
        <v>435</v>
      </c>
      <c r="B1044" s="30" t="s">
        <v>1170</v>
      </c>
    </row>
    <row r="1045" spans="1:3" x14ac:dyDescent="0.6">
      <c r="B1045" s="91" t="s">
        <v>1174</v>
      </c>
      <c r="C1045" s="160">
        <f>40+75%*(65-40)</f>
        <v>58.75</v>
      </c>
    </row>
    <row r="1047" spans="1:3" x14ac:dyDescent="0.6">
      <c r="A1047" s="30" t="s">
        <v>67</v>
      </c>
      <c r="B1047" s="30" t="s">
        <v>1175</v>
      </c>
    </row>
    <row r="1048" spans="1:3" x14ac:dyDescent="0.6">
      <c r="A1048" s="30" t="s">
        <v>430</v>
      </c>
      <c r="B1048" s="30" t="s">
        <v>1176</v>
      </c>
    </row>
    <row r="1049" spans="1:3" x14ac:dyDescent="0.6">
      <c r="A1049" s="30" t="s">
        <v>432</v>
      </c>
      <c r="B1049" s="30" t="s">
        <v>1177</v>
      </c>
    </row>
    <row r="1050" spans="1:3" x14ac:dyDescent="0.6">
      <c r="A1050" s="30" t="s">
        <v>435</v>
      </c>
      <c r="B1050" s="30" t="s">
        <v>1178</v>
      </c>
    </row>
    <row r="1051" spans="1:3" x14ac:dyDescent="0.6">
      <c r="A1051" s="30" t="s">
        <v>665</v>
      </c>
      <c r="B1051" s="30" t="s">
        <v>1179</v>
      </c>
    </row>
    <row r="1053" spans="1:3" x14ac:dyDescent="0.6">
      <c r="B1053" s="30" t="s">
        <v>1180</v>
      </c>
    </row>
    <row r="1054" spans="1:3" x14ac:dyDescent="0.6">
      <c r="A1054" s="30" t="s">
        <v>430</v>
      </c>
      <c r="B1054" s="30" t="s">
        <v>1181</v>
      </c>
      <c r="C1054" s="161">
        <f>1-(2.8/3)</f>
        <v>6.6666666666666763E-2</v>
      </c>
    </row>
    <row r="1055" spans="1:3" x14ac:dyDescent="0.6">
      <c r="A1055" s="30" t="s">
        <v>432</v>
      </c>
      <c r="B1055" s="30" t="s">
        <v>1182</v>
      </c>
      <c r="C1055" s="161">
        <f>0.6/(12-9)</f>
        <v>0.19999999999999998</v>
      </c>
    </row>
    <row r="1056" spans="1:3" x14ac:dyDescent="0.6">
      <c r="A1056" s="30" t="s">
        <v>435</v>
      </c>
      <c r="B1056" s="30" t="s">
        <v>1183</v>
      </c>
      <c r="C1056" s="161">
        <f>1.2/(12-9)</f>
        <v>0.39999999999999997</v>
      </c>
    </row>
    <row r="1057" spans="1:4" x14ac:dyDescent="0.6">
      <c r="A1057" s="30" t="s">
        <v>665</v>
      </c>
      <c r="B1057" s="91" t="s">
        <v>1174</v>
      </c>
      <c r="C1057" s="162">
        <f>9+66.66666666666%*(12-9)</f>
        <v>10.999999999999801</v>
      </c>
    </row>
    <row r="1059" spans="1:4" ht="33.450000000000003" x14ac:dyDescent="0.85">
      <c r="A1059" s="29">
        <v>2</v>
      </c>
      <c r="B1059" s="29" t="s">
        <v>1184</v>
      </c>
    </row>
    <row r="1061" spans="1:4" x14ac:dyDescent="0.6">
      <c r="B1061" s="30" t="s">
        <v>1185</v>
      </c>
    </row>
    <row r="1062" spans="1:4" x14ac:dyDescent="0.6">
      <c r="B1062" s="30" t="s">
        <v>1186</v>
      </c>
    </row>
    <row r="1064" spans="1:4" x14ac:dyDescent="0.6">
      <c r="B1064" s="30" t="s">
        <v>1187</v>
      </c>
    </row>
    <row r="1065" spans="1:4" x14ac:dyDescent="0.6">
      <c r="A1065" s="30" t="s">
        <v>430</v>
      </c>
      <c r="B1065" s="30" t="s">
        <v>1188</v>
      </c>
    </row>
    <row r="1066" spans="1:4" x14ac:dyDescent="0.6">
      <c r="A1066" s="30" t="s">
        <v>432</v>
      </c>
      <c r="B1066" s="30" t="s">
        <v>1189</v>
      </c>
    </row>
    <row r="1068" spans="1:4" x14ac:dyDescent="0.6">
      <c r="B1068" s="30" t="s">
        <v>1190</v>
      </c>
    </row>
    <row r="1069" spans="1:4" ht="35.6" x14ac:dyDescent="0.9">
      <c r="B1069" s="49" t="s">
        <v>1191</v>
      </c>
      <c r="C1069" s="91"/>
      <c r="D1069" s="91"/>
    </row>
    <row r="1071" spans="1:4" x14ac:dyDescent="0.6">
      <c r="B1071" s="30" t="s">
        <v>1192</v>
      </c>
    </row>
    <row r="1073" spans="1:3" x14ac:dyDescent="0.6">
      <c r="B1073" s="30" t="s">
        <v>1193</v>
      </c>
    </row>
    <row r="1075" spans="1:3" x14ac:dyDescent="0.6">
      <c r="B1075" s="30" t="s">
        <v>1194</v>
      </c>
    </row>
    <row r="1076" spans="1:3" ht="26.15" x14ac:dyDescent="0.7">
      <c r="A1076" s="30" t="s">
        <v>173</v>
      </c>
      <c r="B1076" s="1" t="s">
        <v>1195</v>
      </c>
    </row>
    <row r="1077" spans="1:3" ht="26.15" x14ac:dyDescent="0.7">
      <c r="B1077" s="1" t="s">
        <v>1196</v>
      </c>
    </row>
    <row r="1078" spans="1:3" ht="26.15" x14ac:dyDescent="0.7">
      <c r="B1078" s="1" t="s">
        <v>1197</v>
      </c>
    </row>
    <row r="1079" spans="1:3" x14ac:dyDescent="0.6">
      <c r="B1079" s="30" t="s">
        <v>1198</v>
      </c>
    </row>
    <row r="1081" spans="1:3" ht="26.15" x14ac:dyDescent="0.7">
      <c r="B1081" s="1" t="s">
        <v>1199</v>
      </c>
    </row>
    <row r="1082" spans="1:3" ht="26.15" x14ac:dyDescent="0.7">
      <c r="B1082" s="106" t="s">
        <v>1200</v>
      </c>
    </row>
    <row r="1083" spans="1:3" ht="35.6" x14ac:dyDescent="0.9">
      <c r="B1083" s="49" t="s">
        <v>1201</v>
      </c>
      <c r="C1083" s="91"/>
    </row>
    <row r="1084" spans="1:3" ht="26.15" x14ac:dyDescent="0.7">
      <c r="B1084" s="50" t="s">
        <v>1202</v>
      </c>
      <c r="C1084" s="91"/>
    </row>
    <row r="1085" spans="1:3" ht="35.6" x14ac:dyDescent="0.9">
      <c r="B1085" s="49" t="s">
        <v>1203</v>
      </c>
      <c r="C1085" s="91"/>
    </row>
    <row r="1086" spans="1:3" x14ac:dyDescent="0.6">
      <c r="B1086" s="30" t="s">
        <v>1204</v>
      </c>
    </row>
    <row r="1088" spans="1:3" x14ac:dyDescent="0.6">
      <c r="A1088" s="30" t="s">
        <v>176</v>
      </c>
      <c r="B1088" s="30" t="s">
        <v>1205</v>
      </c>
    </row>
    <row r="1089" spans="1:3" x14ac:dyDescent="0.6">
      <c r="B1089" s="30" t="s">
        <v>1206</v>
      </c>
    </row>
    <row r="1090" spans="1:3" x14ac:dyDescent="0.6">
      <c r="B1090" s="30" t="s">
        <v>1207</v>
      </c>
    </row>
    <row r="1092" spans="1:3" x14ac:dyDescent="0.6">
      <c r="B1092" s="30" t="s">
        <v>1208</v>
      </c>
      <c r="C1092" s="163">
        <f>NORMSDIST(1.25)</f>
        <v>0.89435022633314476</v>
      </c>
    </row>
    <row r="1094" spans="1:3" x14ac:dyDescent="0.6">
      <c r="A1094" s="30" t="s">
        <v>16</v>
      </c>
      <c r="B1094" s="30" t="s">
        <v>1209</v>
      </c>
    </row>
    <row r="1095" spans="1:3" x14ac:dyDescent="0.6">
      <c r="B1095" s="30" t="s">
        <v>1210</v>
      </c>
    </row>
    <row r="1096" spans="1:3" x14ac:dyDescent="0.6">
      <c r="A1096" s="30" t="s">
        <v>430</v>
      </c>
      <c r="B1096" s="30" t="s">
        <v>1211</v>
      </c>
    </row>
    <row r="1097" spans="1:3" x14ac:dyDescent="0.6">
      <c r="A1097" s="30" t="s">
        <v>432</v>
      </c>
      <c r="B1097" s="30" t="s">
        <v>1212</v>
      </c>
    </row>
    <row r="1098" spans="1:3" x14ac:dyDescent="0.6">
      <c r="A1098" s="30" t="s">
        <v>435</v>
      </c>
      <c r="B1098" s="30" t="s">
        <v>1213</v>
      </c>
    </row>
    <row r="1099" spans="1:3" x14ac:dyDescent="0.6">
      <c r="A1099" s="30" t="s">
        <v>665</v>
      </c>
      <c r="B1099" s="30" t="s">
        <v>1214</v>
      </c>
    </row>
    <row r="1116" spans="1:3" x14ac:dyDescent="0.6">
      <c r="A1116" s="30" t="s">
        <v>1215</v>
      </c>
      <c r="B1116" s="30" t="s">
        <v>1216</v>
      </c>
    </row>
    <row r="1118" spans="1:3" x14ac:dyDescent="0.6">
      <c r="B1118" s="30" t="s">
        <v>1217</v>
      </c>
    </row>
    <row r="1119" spans="1:3" x14ac:dyDescent="0.6">
      <c r="B1119" s="30" t="s">
        <v>1218</v>
      </c>
    </row>
    <row r="1120" spans="1:3" x14ac:dyDescent="0.6">
      <c r="B1120" s="164" t="s">
        <v>1219</v>
      </c>
      <c r="C1120" s="32">
        <v>30</v>
      </c>
    </row>
    <row r="1121" spans="1:5" x14ac:dyDescent="0.6">
      <c r="B1121" s="164" t="s">
        <v>1220</v>
      </c>
      <c r="C1121" s="32">
        <v>5</v>
      </c>
    </row>
    <row r="1123" spans="1:5" x14ac:dyDescent="0.6">
      <c r="A1123" s="30" t="s">
        <v>430</v>
      </c>
      <c r="B1123" s="30" t="s">
        <v>1211</v>
      </c>
    </row>
    <row r="1124" spans="1:5" x14ac:dyDescent="0.6">
      <c r="B1124" s="30" t="s">
        <v>1221</v>
      </c>
      <c r="C1124" s="32">
        <f>STANDARDIZE(40,C1120,C1121)</f>
        <v>2</v>
      </c>
    </row>
    <row r="1125" spans="1:5" x14ac:dyDescent="0.6">
      <c r="B1125" s="30" t="s">
        <v>1222</v>
      </c>
    </row>
    <row r="1126" spans="1:5" x14ac:dyDescent="0.6">
      <c r="B1126" s="30" t="s">
        <v>1223</v>
      </c>
    </row>
    <row r="1127" spans="1:5" x14ac:dyDescent="0.6">
      <c r="B1127" s="30" t="s">
        <v>1224</v>
      </c>
      <c r="C1127" s="85">
        <v>0.97724999999999995</v>
      </c>
      <c r="D1127" s="156">
        <f>NORMSDIST(2)</f>
        <v>0.97724986805182079</v>
      </c>
      <c r="E1127" s="168">
        <f>_xlfn.NORM.DIST(40,C1120,C1121,1)</f>
        <v>0.97724986805182079</v>
      </c>
    </row>
    <row r="1128" spans="1:5" x14ac:dyDescent="0.6">
      <c r="C1128" s="39" t="s">
        <v>1225</v>
      </c>
      <c r="D1128" s="39" t="s">
        <v>1226</v>
      </c>
      <c r="E1128" s="39" t="s">
        <v>1227</v>
      </c>
    </row>
    <row r="1130" spans="1:5" x14ac:dyDescent="0.6">
      <c r="A1130" s="30" t="s">
        <v>432</v>
      </c>
      <c r="B1130" s="30" t="s">
        <v>1212</v>
      </c>
    </row>
    <row r="1131" spans="1:5" x14ac:dyDescent="0.6">
      <c r="B1131" s="30" t="s">
        <v>1228</v>
      </c>
      <c r="C1131" s="30" t="s">
        <v>1229</v>
      </c>
    </row>
    <row r="1132" spans="1:5" x14ac:dyDescent="0.6">
      <c r="B1132" s="30" t="s">
        <v>1230</v>
      </c>
      <c r="C1132" s="30" t="s">
        <v>1231</v>
      </c>
      <c r="D1132" s="153">
        <f>0.9918-0.0548</f>
        <v>0.93700000000000006</v>
      </c>
      <c r="E1132" s="153">
        <f>_xlfn.NORM.DIST(42,C1120,C1121,1)-_xlfn.NORM.DIST(22,C1120,C1121,1)</f>
        <v>0.93700317237584585</v>
      </c>
    </row>
    <row r="1133" spans="1:5" x14ac:dyDescent="0.6">
      <c r="D1133" s="39" t="s">
        <v>1225</v>
      </c>
      <c r="E1133" s="39" t="s">
        <v>1227</v>
      </c>
    </row>
    <row r="1135" spans="1:5" x14ac:dyDescent="0.6">
      <c r="A1135" s="30" t="s">
        <v>435</v>
      </c>
      <c r="B1135" s="30" t="s">
        <v>1213</v>
      </c>
    </row>
    <row r="1136" spans="1:5" x14ac:dyDescent="0.6">
      <c r="B1136" s="30" t="s">
        <v>1232</v>
      </c>
    </row>
    <row r="1137" spans="1:5" ht="25.3" x14ac:dyDescent="0.65">
      <c r="B1137" s="30" t="s">
        <v>1233</v>
      </c>
      <c r="C1137" s="85">
        <f>1-0.9332</f>
        <v>6.6799999999999971E-2</v>
      </c>
      <c r="D1137" s="85">
        <f>1-_xlfn.NORM.DIST(37.5,C1120,C1121,1)</f>
        <v>6.6807201268858085E-2</v>
      </c>
    </row>
    <row r="1138" spans="1:5" x14ac:dyDescent="0.6">
      <c r="C1138" s="39" t="s">
        <v>1225</v>
      </c>
      <c r="D1138" s="39" t="s">
        <v>1227</v>
      </c>
    </row>
    <row r="1140" spans="1:5" x14ac:dyDescent="0.6">
      <c r="A1140" s="30" t="s">
        <v>665</v>
      </c>
      <c r="B1140" s="30" t="s">
        <v>1214</v>
      </c>
    </row>
    <row r="1141" spans="1:5" x14ac:dyDescent="0.6">
      <c r="B1141" s="30" t="s">
        <v>1234</v>
      </c>
    </row>
    <row r="1142" spans="1:5" x14ac:dyDescent="0.6">
      <c r="B1142" s="30" t="s">
        <v>1235</v>
      </c>
      <c r="C1142" s="32">
        <v>1.28</v>
      </c>
      <c r="D1142" s="32">
        <f>NORMSINV(90%)</f>
        <v>1.2815515655446006</v>
      </c>
    </row>
    <row r="1143" spans="1:5" x14ac:dyDescent="0.6">
      <c r="C1143" s="39" t="s">
        <v>1225</v>
      </c>
      <c r="D1143" s="39" t="s">
        <v>1236</v>
      </c>
    </row>
    <row r="1144" spans="1:5" x14ac:dyDescent="0.6">
      <c r="B1144" s="30" t="s">
        <v>1237</v>
      </c>
      <c r="D1144" s="69">
        <f>$C$1120+C1142*$C$1121</f>
        <v>36.4</v>
      </c>
    </row>
    <row r="1146" spans="1:5" ht="46.3" x14ac:dyDescent="0.6">
      <c r="B1146" s="169" t="s">
        <v>1265</v>
      </c>
      <c r="C1146" s="69">
        <f>NORMINV(90%,C1120,C1121)</f>
        <v>36.407757827723003</v>
      </c>
      <c r="E1146" s="39"/>
    </row>
    <row r="1147" spans="1:5" x14ac:dyDescent="0.6">
      <c r="C1147" s="39" t="s">
        <v>1238</v>
      </c>
      <c r="E1147" s="39"/>
    </row>
    <row r="1148" spans="1:5" x14ac:dyDescent="0.6">
      <c r="E1148" s="39"/>
    </row>
    <row r="1149" spans="1:5" x14ac:dyDescent="0.6">
      <c r="A1149" s="30" t="s">
        <v>67</v>
      </c>
      <c r="B1149" s="30" t="s">
        <v>1399</v>
      </c>
      <c r="E1149" s="39"/>
    </row>
    <row r="1150" spans="1:5" x14ac:dyDescent="0.6">
      <c r="A1150" s="30" t="s">
        <v>430</v>
      </c>
      <c r="B1150" s="30" t="s">
        <v>1396</v>
      </c>
      <c r="E1150" s="39"/>
    </row>
    <row r="1151" spans="1:5" x14ac:dyDescent="0.6">
      <c r="A1151" s="30" t="s">
        <v>432</v>
      </c>
      <c r="B1151" s="30" t="s">
        <v>1397</v>
      </c>
      <c r="E1151" s="39"/>
    </row>
    <row r="1152" spans="1:5" x14ac:dyDescent="0.6">
      <c r="A1152" s="30" t="s">
        <v>1395</v>
      </c>
      <c r="B1152" s="30" t="s">
        <v>1398</v>
      </c>
      <c r="E1152" s="39"/>
    </row>
    <row r="1153" spans="1:5" x14ac:dyDescent="0.6">
      <c r="E1153" s="39"/>
    </row>
    <row r="1154" spans="1:5" x14ac:dyDescent="0.6">
      <c r="B1154" s="30" t="s">
        <v>1400</v>
      </c>
      <c r="E1154" s="39"/>
    </row>
    <row r="1155" spans="1:5" x14ac:dyDescent="0.6">
      <c r="B1155" s="30" t="s">
        <v>1401</v>
      </c>
      <c r="E1155" s="39"/>
    </row>
    <row r="1156" spans="1:5" x14ac:dyDescent="0.6">
      <c r="B1156" s="164" t="s">
        <v>1219</v>
      </c>
      <c r="C1156" s="32">
        <v>73</v>
      </c>
      <c r="E1156" s="39"/>
    </row>
    <row r="1157" spans="1:5" x14ac:dyDescent="0.6">
      <c r="B1157" s="164" t="s">
        <v>1220</v>
      </c>
      <c r="C1157" s="32">
        <v>5</v>
      </c>
      <c r="E1157" s="39"/>
    </row>
    <row r="1158" spans="1:5" x14ac:dyDescent="0.6">
      <c r="E1158" s="39"/>
    </row>
    <row r="1159" spans="1:5" ht="26.15" x14ac:dyDescent="0.7">
      <c r="A1159" s="30" t="s">
        <v>430</v>
      </c>
      <c r="B1159" s="1" t="s">
        <v>1402</v>
      </c>
      <c r="C1159" s="1" t="s">
        <v>1403</v>
      </c>
      <c r="D1159" s="85">
        <f>1-NORMSDIST(-2.6)</f>
        <v>0.99533881197628127</v>
      </c>
      <c r="E1159" s="39"/>
    </row>
    <row r="1160" spans="1:5" x14ac:dyDescent="0.6">
      <c r="A1160" s="30" t="s">
        <v>432</v>
      </c>
      <c r="B1160" s="30" t="s">
        <v>1404</v>
      </c>
      <c r="C1160" s="30" t="s">
        <v>1405</v>
      </c>
      <c r="D1160" s="85">
        <f>_xlfn.NORM.DIST(80,C1156,C1157,1)-_xlfn.NORM.DIST(70,C1156,C1157,1)</f>
        <v>0.64499022301615538</v>
      </c>
      <c r="E1160" s="39"/>
    </row>
    <row r="1161" spans="1:5" x14ac:dyDescent="0.6">
      <c r="A1161" s="30" t="s">
        <v>435</v>
      </c>
      <c r="B1161" s="30" t="s">
        <v>1406</v>
      </c>
      <c r="D1161" s="32">
        <f>NORMSINV(90%)</f>
        <v>1.2815515655446006</v>
      </c>
      <c r="E1161" s="39"/>
    </row>
    <row r="1162" spans="1:5" x14ac:dyDescent="0.6">
      <c r="E1162" s="39"/>
    </row>
    <row r="1163" spans="1:5" x14ac:dyDescent="0.6">
      <c r="B1163" s="30" t="s">
        <v>1407</v>
      </c>
      <c r="C1163" s="32">
        <f>C1156+1.28*C1157</f>
        <v>79.400000000000006</v>
      </c>
      <c r="D1163" s="30" t="s">
        <v>31</v>
      </c>
      <c r="E1163" s="39"/>
    </row>
    <row r="1164" spans="1:5" x14ac:dyDescent="0.6">
      <c r="E1164" s="39"/>
    </row>
    <row r="1165" spans="1:5" x14ac:dyDescent="0.6">
      <c r="B1165" s="30" t="s">
        <v>1408</v>
      </c>
      <c r="C1165" s="32">
        <f>NORMINV(90%,C1156,C1157)</f>
        <v>79.407757827723003</v>
      </c>
      <c r="D1165" s="30" t="s">
        <v>31</v>
      </c>
      <c r="E1165" s="39"/>
    </row>
    <row r="1166" spans="1:5" x14ac:dyDescent="0.6">
      <c r="E1166" s="39"/>
    </row>
    <row r="1167" spans="1:5" x14ac:dyDescent="0.6">
      <c r="E1167" s="39"/>
    </row>
    <row r="1168" spans="1:5" x14ac:dyDescent="0.6">
      <c r="E1168" s="39"/>
    </row>
    <row r="1169" spans="1:5" x14ac:dyDescent="0.6">
      <c r="B1169" s="110">
        <v>44818</v>
      </c>
      <c r="E1169" s="39"/>
    </row>
    <row r="1170" spans="1:5" x14ac:dyDescent="0.6">
      <c r="A1170" s="30" t="s">
        <v>286</v>
      </c>
      <c r="B1170" s="30" t="s">
        <v>1266</v>
      </c>
    </row>
    <row r="1171" spans="1:5" x14ac:dyDescent="0.6">
      <c r="B1171" s="30" t="s">
        <v>1267</v>
      </c>
    </row>
    <row r="1172" spans="1:5" x14ac:dyDescent="0.6">
      <c r="A1172"/>
      <c r="B1172"/>
    </row>
    <row r="1173" spans="1:5" x14ac:dyDescent="0.6">
      <c r="A1173" s="30" t="s">
        <v>430</v>
      </c>
      <c r="B1173" s="30" t="s">
        <v>1268</v>
      </c>
    </row>
    <row r="1174" spans="1:5" x14ac:dyDescent="0.6">
      <c r="A1174" s="30" t="s">
        <v>432</v>
      </c>
      <c r="B1174" s="30" t="s">
        <v>1269</v>
      </c>
    </row>
    <row r="1175" spans="1:5" x14ac:dyDescent="0.6">
      <c r="A1175" s="30" t="s">
        <v>435</v>
      </c>
      <c r="B1175" s="30" t="s">
        <v>1270</v>
      </c>
    </row>
    <row r="1176" spans="1:5" x14ac:dyDescent="0.6">
      <c r="A1176" s="30" t="s">
        <v>665</v>
      </c>
      <c r="B1176" s="30" t="s">
        <v>1271</v>
      </c>
    </row>
    <row r="1178" spans="1:5" x14ac:dyDescent="0.6">
      <c r="B1178" s="30" t="s">
        <v>1272</v>
      </c>
    </row>
    <row r="1179" spans="1:5" x14ac:dyDescent="0.6">
      <c r="B1179" s="30" t="s">
        <v>1273</v>
      </c>
    </row>
    <row r="1180" spans="1:5" x14ac:dyDescent="0.6">
      <c r="B1180" s="164" t="s">
        <v>1219</v>
      </c>
      <c r="C1180" s="32">
        <v>36</v>
      </c>
    </row>
    <row r="1181" spans="1:5" x14ac:dyDescent="0.6">
      <c r="B1181" s="164" t="s">
        <v>1220</v>
      </c>
      <c r="C1181" s="136" t="s">
        <v>1239</v>
      </c>
      <c r="D1181" s="32">
        <f>(50-C1180)/NORMSINV(90%)</f>
        <v>10.924258045013305</v>
      </c>
    </row>
    <row r="1183" spans="1:5" x14ac:dyDescent="0.6">
      <c r="B1183" s="30" t="s">
        <v>1274</v>
      </c>
      <c r="C1183"/>
    </row>
    <row r="1184" spans="1:5" x14ac:dyDescent="0.6">
      <c r="B1184" s="30" t="s">
        <v>1275</v>
      </c>
    </row>
    <row r="1185" spans="1:5" x14ac:dyDescent="0.6">
      <c r="B1185" s="30" t="s">
        <v>1276</v>
      </c>
      <c r="E1185" s="32">
        <f>NORMSINV(90%)</f>
        <v>1.2815515655446006</v>
      </c>
    </row>
    <row r="1186" spans="1:5" x14ac:dyDescent="0.6">
      <c r="B1186" s="30" t="s">
        <v>1277</v>
      </c>
    </row>
    <row r="1187" spans="1:5" x14ac:dyDescent="0.6">
      <c r="B1187" s="30" t="s">
        <v>1278</v>
      </c>
    </row>
    <row r="1189" spans="1:5" x14ac:dyDescent="0.6">
      <c r="A1189" s="30" t="s">
        <v>430</v>
      </c>
      <c r="B1189" s="30" t="s">
        <v>1268</v>
      </c>
    </row>
    <row r="1190" spans="1:5" x14ac:dyDescent="0.6">
      <c r="B1190" s="30" t="s">
        <v>1279</v>
      </c>
    </row>
    <row r="1191" spans="1:5" x14ac:dyDescent="0.6">
      <c r="B1191" s="30" t="s">
        <v>1280</v>
      </c>
    </row>
    <row r="1192" spans="1:5" x14ac:dyDescent="0.6">
      <c r="B1192" s="30" t="s">
        <v>1281</v>
      </c>
      <c r="C1192"/>
    </row>
    <row r="1193" spans="1:5" x14ac:dyDescent="0.6">
      <c r="B1193" s="30" t="s">
        <v>1282</v>
      </c>
      <c r="C1193" s="143">
        <f>_xlfn.NORM.DIST(25,C1180,D1181,1)</f>
        <v>0.15698339658141769</v>
      </c>
    </row>
    <row r="1195" spans="1:5" x14ac:dyDescent="0.6">
      <c r="A1195" s="30" t="s">
        <v>432</v>
      </c>
      <c r="B1195" s="30" t="s">
        <v>1269</v>
      </c>
    </row>
    <row r="1196" spans="1:5" x14ac:dyDescent="0.6">
      <c r="B1196" s="30" t="s">
        <v>1283</v>
      </c>
      <c r="C1196"/>
    </row>
    <row r="1197" spans="1:5" x14ac:dyDescent="0.6">
      <c r="B1197" s="30" t="s">
        <v>1284</v>
      </c>
      <c r="C1197" s="30" t="s">
        <v>1411</v>
      </c>
      <c r="D1197" s="85">
        <f>_xlfn.NORM.DIST(40,C1180,D1181,1)-_xlfn.NORM.DIST(30,C1180,D1181,1)</f>
        <v>0.35145463819560718</v>
      </c>
    </row>
    <row r="1199" spans="1:5" x14ac:dyDescent="0.6">
      <c r="A1199" s="30" t="s">
        <v>435</v>
      </c>
      <c r="B1199" s="30" t="s">
        <v>1270</v>
      </c>
    </row>
    <row r="1200" spans="1:5" x14ac:dyDescent="0.6">
      <c r="B1200" s="30" t="s">
        <v>1409</v>
      </c>
      <c r="C1200" s="30" t="s">
        <v>1410</v>
      </c>
      <c r="D1200" s="153">
        <f>1-_xlfn.NORM.DIST(45,C1180,D1181,1)</f>
        <v>0.2050110959901601</v>
      </c>
    </row>
    <row r="1202" spans="1:5" x14ac:dyDescent="0.6">
      <c r="A1202" s="30" t="s">
        <v>665</v>
      </c>
      <c r="B1202" s="30" t="s">
        <v>1271</v>
      </c>
    </row>
    <row r="1203" spans="1:5" x14ac:dyDescent="0.6">
      <c r="B1203" s="30" t="s">
        <v>1412</v>
      </c>
    </row>
    <row r="1204" spans="1:5" x14ac:dyDescent="0.6">
      <c r="B1204" s="30" t="s">
        <v>1285</v>
      </c>
      <c r="C1204"/>
      <c r="D1204"/>
    </row>
    <row r="1205" spans="1:5" x14ac:dyDescent="0.6">
      <c r="B1205" s="30" t="s">
        <v>1235</v>
      </c>
      <c r="C1205" s="152">
        <f>NORMSINV(75%)</f>
        <v>0.67448975019608193</v>
      </c>
      <c r="D1205"/>
    </row>
    <row r="1206" spans="1:5" x14ac:dyDescent="0.6">
      <c r="B1206" s="30" t="s">
        <v>1286</v>
      </c>
      <c r="C1206"/>
      <c r="D1206" s="68">
        <f>C1180+C1205*D1181</f>
        <v>43.368300079858564</v>
      </c>
      <c r="E1206" s="68">
        <f>NORMINV(75%,C1180,D1181)</f>
        <v>43.368300079858564</v>
      </c>
    </row>
    <row r="1207" spans="1:5" x14ac:dyDescent="0.6">
      <c r="E1207" s="39" t="s">
        <v>1238</v>
      </c>
    </row>
    <row r="1209" spans="1:5" x14ac:dyDescent="0.6">
      <c r="A1209" s="30" t="s">
        <v>298</v>
      </c>
      <c r="B1209" s="30" t="s">
        <v>1287</v>
      </c>
    </row>
    <row r="1210" spans="1:5" x14ac:dyDescent="0.6">
      <c r="A1210" s="170"/>
      <c r="B1210" s="30" t="s">
        <v>1288</v>
      </c>
    </row>
    <row r="1211" spans="1:5" x14ac:dyDescent="0.6">
      <c r="A1211" s="170"/>
      <c r="B1211" s="30" t="s">
        <v>1289</v>
      </c>
    </row>
    <row r="1212" spans="1:5" x14ac:dyDescent="0.6">
      <c r="A1212" s="170"/>
      <c r="B1212" s="30" t="s">
        <v>1290</v>
      </c>
    </row>
    <row r="1213" spans="1:5" x14ac:dyDescent="0.6">
      <c r="A1213" s="30" t="s">
        <v>430</v>
      </c>
      <c r="B1213" s="30" t="s">
        <v>1291</v>
      </c>
    </row>
    <row r="1214" spans="1:5" x14ac:dyDescent="0.6">
      <c r="A1214" s="30" t="s">
        <v>432</v>
      </c>
      <c r="B1214" s="30" t="s">
        <v>1292</v>
      </c>
    </row>
    <row r="1215" spans="1:5" x14ac:dyDescent="0.6">
      <c r="A1215" s="30" t="s">
        <v>435</v>
      </c>
      <c r="B1215" s="30" t="s">
        <v>1293</v>
      </c>
    </row>
    <row r="1216" spans="1:5" x14ac:dyDescent="0.6">
      <c r="A1216" s="30" t="s">
        <v>665</v>
      </c>
      <c r="B1216" s="30" t="s">
        <v>1294</v>
      </c>
    </row>
    <row r="1218" spans="1:3" x14ac:dyDescent="0.6">
      <c r="B1218" s="30" t="s">
        <v>1295</v>
      </c>
    </row>
    <row r="1219" spans="1:3" x14ac:dyDescent="0.6">
      <c r="B1219" s="30" t="s">
        <v>1273</v>
      </c>
    </row>
    <row r="1220" spans="1:3" x14ac:dyDescent="0.6">
      <c r="B1220" s="164" t="s">
        <v>1219</v>
      </c>
      <c r="C1220" s="32">
        <v>2.1</v>
      </c>
    </row>
    <row r="1221" spans="1:3" x14ac:dyDescent="0.6">
      <c r="B1221" s="164" t="s">
        <v>1220</v>
      </c>
      <c r="C1221" s="136">
        <v>0.1</v>
      </c>
    </row>
    <row r="1223" spans="1:3" ht="25.3" x14ac:dyDescent="0.65">
      <c r="A1223" s="30" t="s">
        <v>430</v>
      </c>
      <c r="B1223" s="30" t="s">
        <v>1296</v>
      </c>
      <c r="C1223" s="143">
        <f>1-_xlfn.NORM.DIST(2.4,C1220,C1221,1)</f>
        <v>1.3498980316301035E-3</v>
      </c>
    </row>
    <row r="1225" spans="1:3" x14ac:dyDescent="0.6">
      <c r="A1225" s="30" t="s">
        <v>432</v>
      </c>
      <c r="B1225" s="30" t="s">
        <v>1297</v>
      </c>
    </row>
    <row r="1226" spans="1:3" ht="25.3" x14ac:dyDescent="0.65">
      <c r="B1226" s="171" t="s">
        <v>1298</v>
      </c>
      <c r="C1226" s="143">
        <f>NORMDIST(1.9,C1220,C1221,1)</f>
        <v>2.2750131948179098E-2</v>
      </c>
    </row>
    <row r="1228" spans="1:3" x14ac:dyDescent="0.6">
      <c r="A1228" s="30" t="s">
        <v>435</v>
      </c>
      <c r="B1228" s="30" t="s">
        <v>1293</v>
      </c>
    </row>
    <row r="1229" spans="1:3" ht="25.3" x14ac:dyDescent="0.65">
      <c r="B1229" s="171" t="s">
        <v>1299</v>
      </c>
      <c r="C1229" s="143">
        <f>NORMDIST(2,C1220,C1221,1)-NORMDIST(1.9,C1220,C1221,1)</f>
        <v>0.1359051219832777</v>
      </c>
    </row>
    <row r="1231" spans="1:3" x14ac:dyDescent="0.6">
      <c r="A1231" s="30" t="s">
        <v>665</v>
      </c>
      <c r="B1231" s="30" t="s">
        <v>1294</v>
      </c>
    </row>
    <row r="1232" spans="1:3" ht="25.3" x14ac:dyDescent="0.65">
      <c r="B1232" s="30" t="s">
        <v>1300</v>
      </c>
      <c r="C1232" s="143">
        <f>1-NORMDIST(2,C1220,C1221,1)</f>
        <v>0.84134474606854326</v>
      </c>
    </row>
    <row r="1234" spans="1:5" x14ac:dyDescent="0.6">
      <c r="A1234" s="30" t="s">
        <v>298</v>
      </c>
      <c r="B1234" s="30" t="s">
        <v>1413</v>
      </c>
    </row>
    <row r="1235" spans="1:5" x14ac:dyDescent="0.6">
      <c r="B1235" s="30" t="s">
        <v>1427</v>
      </c>
    </row>
    <row r="1236" spans="1:5" x14ac:dyDescent="0.6">
      <c r="A1236" s="30" t="s">
        <v>430</v>
      </c>
      <c r="B1236" s="30" t="s">
        <v>1414</v>
      </c>
    </row>
    <row r="1237" spans="1:5" x14ac:dyDescent="0.6">
      <c r="A1237" s="30" t="s">
        <v>432</v>
      </c>
      <c r="B1237" s="30" t="s">
        <v>1415</v>
      </c>
    </row>
    <row r="1238" spans="1:5" x14ac:dyDescent="0.6">
      <c r="A1238" s="30" t="s">
        <v>435</v>
      </c>
      <c r="B1238" s="30" t="s">
        <v>1416</v>
      </c>
    </row>
    <row r="1240" spans="1:5" x14ac:dyDescent="0.6">
      <c r="B1240" s="30" t="s">
        <v>1428</v>
      </c>
    </row>
    <row r="1241" spans="1:5" x14ac:dyDescent="0.6">
      <c r="B1241" s="30" t="s">
        <v>1218</v>
      </c>
    </row>
    <row r="1242" spans="1:5" x14ac:dyDescent="0.6">
      <c r="B1242" s="164" t="s">
        <v>1219</v>
      </c>
      <c r="C1242" s="70" t="s">
        <v>1239</v>
      </c>
    </row>
    <row r="1243" spans="1:5" x14ac:dyDescent="0.6">
      <c r="B1243" s="164" t="s">
        <v>1220</v>
      </c>
      <c r="C1243" s="70" t="s">
        <v>1239</v>
      </c>
    </row>
    <row r="1245" spans="1:5" x14ac:dyDescent="0.6">
      <c r="B1245" s="30" t="s">
        <v>1421</v>
      </c>
    </row>
    <row r="1246" spans="1:5" x14ac:dyDescent="0.6">
      <c r="B1246" s="30" t="s">
        <v>1417</v>
      </c>
    </row>
    <row r="1247" spans="1:5" x14ac:dyDescent="0.6">
      <c r="B1247" s="30" t="s">
        <v>1301</v>
      </c>
      <c r="E1247" s="177">
        <f>NORMSINV(87%)</f>
        <v>1.1263911290388013</v>
      </c>
    </row>
    <row r="1248" spans="1:5" x14ac:dyDescent="0.6">
      <c r="B1248" s="30" t="s">
        <v>1418</v>
      </c>
    </row>
    <row r="1249" spans="1:6" x14ac:dyDescent="0.6">
      <c r="B1249" s="30" t="s">
        <v>1420</v>
      </c>
      <c r="C1249" s="30" t="s">
        <v>1419</v>
      </c>
    </row>
    <row r="1251" spans="1:6" x14ac:dyDescent="0.6">
      <c r="B1251" s="30" t="s">
        <v>1422</v>
      </c>
    </row>
    <row r="1252" spans="1:6" x14ac:dyDescent="0.6">
      <c r="B1252" s="30" t="s">
        <v>1423</v>
      </c>
    </row>
    <row r="1253" spans="1:6" x14ac:dyDescent="0.6">
      <c r="B1253" s="30" t="s">
        <v>1302</v>
      </c>
      <c r="E1253" s="177">
        <f>NORMSINV(6%)</f>
        <v>-1.554773594596853</v>
      </c>
    </row>
    <row r="1254" spans="1:6" x14ac:dyDescent="0.6">
      <c r="B1254" s="30" t="s">
        <v>1424</v>
      </c>
    </row>
    <row r="1255" spans="1:6" x14ac:dyDescent="0.6">
      <c r="B1255" s="30" t="s">
        <v>1425</v>
      </c>
      <c r="C1255" s="30" t="s">
        <v>1426</v>
      </c>
    </row>
    <row r="1256" spans="1:6" x14ac:dyDescent="0.6">
      <c r="B1256" s="30" t="s">
        <v>1303</v>
      </c>
    </row>
    <row r="1257" spans="1:6" x14ac:dyDescent="0.6">
      <c r="B1257" s="164" t="s">
        <v>1219</v>
      </c>
      <c r="C1257" s="70">
        <f>5-E1253*C1258</f>
        <v>31.094932228552612</v>
      </c>
    </row>
    <row r="1258" spans="1:6" x14ac:dyDescent="0.6">
      <c r="B1258" s="164" t="s">
        <v>1220</v>
      </c>
      <c r="C1258" s="70">
        <f>45/(E1247-E1253)</f>
        <v>16.783750585447091</v>
      </c>
    </row>
    <row r="1260" spans="1:6" x14ac:dyDescent="0.6">
      <c r="A1260" s="30" t="s">
        <v>430</v>
      </c>
      <c r="B1260" s="30" t="s">
        <v>1414</v>
      </c>
      <c r="E1260" s="172">
        <f>1-_xlfn.NORM.DIST(25,C1257,C1258,1)</f>
        <v>0.6417516506423645</v>
      </c>
    </row>
    <row r="1261" spans="1:6" x14ac:dyDescent="0.6">
      <c r="A1261" s="30" t="s">
        <v>432</v>
      </c>
      <c r="B1261" s="30" t="s">
        <v>1415</v>
      </c>
      <c r="E1261" s="173">
        <f>_xlfn.NORM.DIST(20,C1257,C1258,1)-_xlfn.NORM.DIST(10,C1257,C1258,1)</f>
        <v>0.14988846873472644</v>
      </c>
    </row>
    <row r="1262" spans="1:6" x14ac:dyDescent="0.6">
      <c r="A1262" s="30" t="s">
        <v>435</v>
      </c>
      <c r="B1262" s="30" t="s">
        <v>1416</v>
      </c>
      <c r="E1262" s="174">
        <f>NORMINV(80%,C1257,C1258)</f>
        <v>45.220493100256725</v>
      </c>
      <c r="F1262" s="30" t="s">
        <v>1429</v>
      </c>
    </row>
  </sheetData>
  <mergeCells count="1">
    <mergeCell ref="B424:C42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BA8-48C3-4447-B701-934F1CCA11BA}">
  <dimension ref="A2:K289"/>
  <sheetViews>
    <sheetView topLeftCell="A274" zoomScale="63" zoomScaleNormal="63" workbookViewId="0">
      <selection activeCell="D30" sqref="D30"/>
    </sheetView>
  </sheetViews>
  <sheetFormatPr defaultColWidth="8.84375" defaultRowHeight="23.15" x14ac:dyDescent="0.6"/>
  <cols>
    <col min="1" max="1" width="12" style="30" customWidth="1"/>
    <col min="2" max="2" width="26.765625" style="30" customWidth="1"/>
    <col min="3" max="3" width="37" style="30" customWidth="1"/>
    <col min="4" max="4" width="42.23046875" style="30" customWidth="1"/>
    <col min="5" max="5" width="22.53515625" style="30" customWidth="1"/>
    <col min="6" max="6" width="29.69140625" style="30" customWidth="1"/>
    <col min="7" max="7" width="18.23046875" style="30" customWidth="1"/>
    <col min="8" max="8" width="15.53515625" style="30" customWidth="1"/>
    <col min="9" max="9" width="16.07421875" style="30" customWidth="1"/>
    <col min="10" max="10" width="12.53515625" style="30" customWidth="1"/>
    <col min="11" max="16384" width="8.84375" style="30"/>
  </cols>
  <sheetData>
    <row r="2" spans="1:2" ht="61.3" x14ac:dyDescent="1.55">
      <c r="B2" s="104" t="s">
        <v>1304</v>
      </c>
    </row>
    <row r="4" spans="1:2" ht="30.9" x14ac:dyDescent="0.8">
      <c r="A4" s="86" t="s">
        <v>448</v>
      </c>
      <c r="B4" s="2" t="s">
        <v>1305</v>
      </c>
    </row>
    <row r="5" spans="1:2" ht="30.9" x14ac:dyDescent="0.8">
      <c r="A5" s="86" t="s">
        <v>449</v>
      </c>
      <c r="B5" s="2" t="s">
        <v>1306</v>
      </c>
    </row>
    <row r="6" spans="1:2" ht="30.9" x14ac:dyDescent="0.8">
      <c r="A6" s="2" t="s">
        <v>450</v>
      </c>
      <c r="B6" s="2" t="s">
        <v>1307</v>
      </c>
    </row>
    <row r="8" spans="1:2" x14ac:dyDescent="0.6">
      <c r="B8" s="30" t="s">
        <v>1308</v>
      </c>
    </row>
    <row r="9" spans="1:2" x14ac:dyDescent="0.6">
      <c r="A9" s="30">
        <v>1</v>
      </c>
      <c r="B9" s="30" t="s">
        <v>1309</v>
      </c>
    </row>
    <row r="10" spans="1:2" x14ac:dyDescent="0.6">
      <c r="B10" s="30" t="s">
        <v>1310</v>
      </c>
    </row>
    <row r="11" spans="1:2" x14ac:dyDescent="0.6">
      <c r="B11" s="30" t="s">
        <v>1311</v>
      </c>
    </row>
    <row r="12" spans="1:2" x14ac:dyDescent="0.6">
      <c r="B12" s="30" t="s">
        <v>1312</v>
      </c>
    </row>
    <row r="13" spans="1:2" x14ac:dyDescent="0.6">
      <c r="B13" s="30" t="s">
        <v>1313</v>
      </c>
    </row>
    <row r="15" spans="1:2" x14ac:dyDescent="0.6">
      <c r="A15" s="30">
        <v>2</v>
      </c>
      <c r="B15" s="30" t="s">
        <v>1314</v>
      </c>
    </row>
    <row r="16" spans="1:2" x14ac:dyDescent="0.6">
      <c r="B16" s="30" t="s">
        <v>1315</v>
      </c>
    </row>
    <row r="17" spans="1:2" x14ac:dyDescent="0.6">
      <c r="B17" s="30" t="s">
        <v>1316</v>
      </c>
    </row>
    <row r="18" spans="1:2" x14ac:dyDescent="0.6">
      <c r="B18" s="30" t="s">
        <v>1317</v>
      </c>
    </row>
    <row r="19" spans="1:2" x14ac:dyDescent="0.6">
      <c r="A19" s="108" t="s">
        <v>430</v>
      </c>
      <c r="B19" s="30" t="s">
        <v>1318</v>
      </c>
    </row>
    <row r="20" spans="1:2" x14ac:dyDescent="0.6">
      <c r="A20" s="108" t="s">
        <v>432</v>
      </c>
      <c r="B20" s="30" t="s">
        <v>1319</v>
      </c>
    </row>
    <row r="21" spans="1:2" x14ac:dyDescent="0.6">
      <c r="A21" s="108" t="s">
        <v>435</v>
      </c>
      <c r="B21" s="30" t="s">
        <v>1320</v>
      </c>
    </row>
    <row r="22" spans="1:2" x14ac:dyDescent="0.6">
      <c r="A22" s="108" t="s">
        <v>665</v>
      </c>
      <c r="B22" s="30" t="s">
        <v>1321</v>
      </c>
    </row>
    <row r="24" spans="1:2" x14ac:dyDescent="0.6">
      <c r="B24" s="30" t="s">
        <v>1322</v>
      </c>
    </row>
    <row r="25" spans="1:2" x14ac:dyDescent="0.6">
      <c r="B25" s="30" t="s">
        <v>1323</v>
      </c>
    </row>
    <row r="27" spans="1:2" ht="30.9" x14ac:dyDescent="0.8">
      <c r="B27" s="2" t="s">
        <v>1324</v>
      </c>
    </row>
    <row r="28" spans="1:2" ht="26.15" x14ac:dyDescent="0.7">
      <c r="B28" s="1" t="s">
        <v>1325</v>
      </c>
    </row>
    <row r="29" spans="1:2" ht="26.15" x14ac:dyDescent="0.7">
      <c r="B29" s="1" t="s">
        <v>1326</v>
      </c>
    </row>
    <row r="30" spans="1:2" ht="26.15" x14ac:dyDescent="0.7">
      <c r="B30" s="1" t="s">
        <v>1327</v>
      </c>
    </row>
    <row r="32" spans="1:2" x14ac:dyDescent="0.6">
      <c r="B32" s="30" t="s">
        <v>1328</v>
      </c>
    </row>
    <row r="33" spans="1:2" x14ac:dyDescent="0.6">
      <c r="B33" s="30" t="s">
        <v>1329</v>
      </c>
    </row>
    <row r="34" spans="1:2" x14ac:dyDescent="0.6">
      <c r="B34" s="30" t="s">
        <v>1330</v>
      </c>
    </row>
    <row r="36" spans="1:2" ht="46.3" x14ac:dyDescent="1.2">
      <c r="B36" s="43" t="s">
        <v>1331</v>
      </c>
    </row>
    <row r="37" spans="1:2" x14ac:dyDescent="0.6">
      <c r="B37" s="30" t="s">
        <v>1332</v>
      </c>
    </row>
    <row r="38" spans="1:2" x14ac:dyDescent="0.6">
      <c r="A38" s="30" t="s">
        <v>448</v>
      </c>
      <c r="B38" s="30" t="s">
        <v>1333</v>
      </c>
    </row>
    <row r="39" spans="1:2" x14ac:dyDescent="0.6">
      <c r="A39" s="30" t="s">
        <v>449</v>
      </c>
      <c r="B39" s="30" t="s">
        <v>1334</v>
      </c>
    </row>
    <row r="42" spans="1:2" x14ac:dyDescent="0.6">
      <c r="A42" s="30" t="s">
        <v>448</v>
      </c>
      <c r="B42" s="30" t="s">
        <v>1333</v>
      </c>
    </row>
    <row r="43" spans="1:2" x14ac:dyDescent="0.6">
      <c r="B43" s="30" t="s">
        <v>1335</v>
      </c>
    </row>
    <row r="44" spans="1:2" x14ac:dyDescent="0.6">
      <c r="B44" s="30" t="s">
        <v>1336</v>
      </c>
    </row>
    <row r="46" spans="1:2" x14ac:dyDescent="0.6">
      <c r="B46" s="30" t="s">
        <v>1337</v>
      </c>
    </row>
    <row r="47" spans="1:2" x14ac:dyDescent="0.6">
      <c r="A47" s="30" t="s">
        <v>430</v>
      </c>
      <c r="B47" s="30" t="s">
        <v>1338</v>
      </c>
    </row>
    <row r="48" spans="1:2" x14ac:dyDescent="0.6">
      <c r="A48" s="30" t="s">
        <v>432</v>
      </c>
      <c r="B48" s="30" t="s">
        <v>1339</v>
      </c>
    </row>
    <row r="49" spans="1:2" x14ac:dyDescent="0.6">
      <c r="A49" s="30" t="s">
        <v>435</v>
      </c>
      <c r="B49" s="30" t="s">
        <v>1340</v>
      </c>
    </row>
    <row r="51" spans="1:2" x14ac:dyDescent="0.6">
      <c r="A51" s="30" t="s">
        <v>173</v>
      </c>
      <c r="B51" s="30" t="s">
        <v>1341</v>
      </c>
    </row>
    <row r="52" spans="1:2" x14ac:dyDescent="0.6">
      <c r="B52" s="30" t="s">
        <v>1342</v>
      </c>
    </row>
    <row r="53" spans="1:2" x14ac:dyDescent="0.6">
      <c r="B53" s="30" t="s">
        <v>1343</v>
      </c>
    </row>
    <row r="55" spans="1:2" x14ac:dyDescent="0.6">
      <c r="A55" s="30" t="s">
        <v>176</v>
      </c>
      <c r="B55" s="30" t="s">
        <v>1344</v>
      </c>
    </row>
    <row r="56" spans="1:2" x14ac:dyDescent="0.6">
      <c r="B56" s="30" t="s">
        <v>1345</v>
      </c>
    </row>
    <row r="57" spans="1:2" x14ac:dyDescent="0.6">
      <c r="B57" s="30" t="s">
        <v>1346</v>
      </c>
    </row>
    <row r="59" spans="1:2" x14ac:dyDescent="0.6">
      <c r="A59" s="30" t="s">
        <v>178</v>
      </c>
      <c r="B59" s="30" t="s">
        <v>1347</v>
      </c>
    </row>
    <row r="60" spans="1:2" x14ac:dyDescent="0.6">
      <c r="B60" s="30" t="s">
        <v>1348</v>
      </c>
    </row>
    <row r="61" spans="1:2" x14ac:dyDescent="0.6">
      <c r="B61" s="30" t="s">
        <v>1349</v>
      </c>
    </row>
    <row r="63" spans="1:2" x14ac:dyDescent="0.6">
      <c r="B63" s="30" t="s">
        <v>1350</v>
      </c>
    </row>
    <row r="64" spans="1:2" x14ac:dyDescent="0.6">
      <c r="B64" s="30" t="s">
        <v>1351</v>
      </c>
    </row>
    <row r="65" spans="1:2" x14ac:dyDescent="0.6">
      <c r="B65" s="30" t="s">
        <v>1352</v>
      </c>
    </row>
    <row r="68" spans="1:2" x14ac:dyDescent="0.6">
      <c r="A68" s="30" t="s">
        <v>665</v>
      </c>
      <c r="B68" s="30" t="s">
        <v>1353</v>
      </c>
    </row>
    <row r="69" spans="1:2" x14ac:dyDescent="0.6">
      <c r="B69" s="30" t="s">
        <v>1354</v>
      </c>
    </row>
    <row r="71" spans="1:2" x14ac:dyDescent="0.6">
      <c r="A71" s="30" t="s">
        <v>449</v>
      </c>
      <c r="B71" s="30" t="s">
        <v>1334</v>
      </c>
    </row>
    <row r="72" spans="1:2" x14ac:dyDescent="0.6">
      <c r="B72" s="30" t="s">
        <v>1355</v>
      </c>
    </row>
    <row r="74" spans="1:2" x14ac:dyDescent="0.6">
      <c r="A74" s="30" t="s">
        <v>430</v>
      </c>
      <c r="B74" s="30" t="s">
        <v>1356</v>
      </c>
    </row>
    <row r="75" spans="1:2" x14ac:dyDescent="0.6">
      <c r="A75" s="30" t="s">
        <v>432</v>
      </c>
      <c r="B75" s="30" t="s">
        <v>1357</v>
      </c>
    </row>
    <row r="76" spans="1:2" x14ac:dyDescent="0.6">
      <c r="A76" s="30" t="s">
        <v>435</v>
      </c>
      <c r="B76" s="30" t="s">
        <v>1358</v>
      </c>
    </row>
    <row r="77" spans="1:2" x14ac:dyDescent="0.6">
      <c r="A77" s="30" t="s">
        <v>665</v>
      </c>
      <c r="B77" s="30" t="s">
        <v>1359</v>
      </c>
    </row>
    <row r="80" spans="1:2" x14ac:dyDescent="0.6">
      <c r="B80" s="30" t="s">
        <v>1360</v>
      </c>
    </row>
    <row r="81" spans="1:11" x14ac:dyDescent="0.6">
      <c r="B81" s="31" t="s">
        <v>1361</v>
      </c>
      <c r="C81" s="31" t="s">
        <v>1362</v>
      </c>
      <c r="D81" s="31" t="s">
        <v>1363</v>
      </c>
    </row>
    <row r="82" spans="1:11" x14ac:dyDescent="0.6">
      <c r="B82" s="31" t="s">
        <v>1364</v>
      </c>
      <c r="C82" s="31" t="s">
        <v>130</v>
      </c>
      <c r="D82" s="31" t="s">
        <v>132</v>
      </c>
    </row>
    <row r="83" spans="1:11" x14ac:dyDescent="0.6">
      <c r="B83" s="31" t="s">
        <v>21</v>
      </c>
      <c r="C83" s="31" t="s">
        <v>1365</v>
      </c>
      <c r="D83" s="31" t="s">
        <v>1366</v>
      </c>
    </row>
    <row r="84" spans="1:11" x14ac:dyDescent="0.6">
      <c r="B84" s="31" t="s">
        <v>1367</v>
      </c>
      <c r="C84" s="175" t="s">
        <v>1220</v>
      </c>
      <c r="D84" s="31" t="s">
        <v>1368</v>
      </c>
      <c r="E84" s="176" t="s">
        <v>1369</v>
      </c>
      <c r="K84" s="30" t="s">
        <v>1370</v>
      </c>
    </row>
    <row r="85" spans="1:11" x14ac:dyDescent="0.6">
      <c r="B85" s="31" t="s">
        <v>1371</v>
      </c>
      <c r="C85" s="31" t="s">
        <v>1372</v>
      </c>
      <c r="D85" s="31" t="s">
        <v>991</v>
      </c>
    </row>
    <row r="86" spans="1:11" x14ac:dyDescent="0.6">
      <c r="B86" s="31"/>
      <c r="C86" s="31" t="s">
        <v>1373</v>
      </c>
      <c r="D86" s="31" t="s">
        <v>1374</v>
      </c>
    </row>
    <row r="88" spans="1:11" ht="30.9" x14ac:dyDescent="0.8">
      <c r="B88" s="2" t="s">
        <v>1375</v>
      </c>
    </row>
    <row r="89" spans="1:11" x14ac:dyDescent="0.6">
      <c r="A89" s="30" t="s">
        <v>173</v>
      </c>
      <c r="B89" s="30" t="s">
        <v>1376</v>
      </c>
    </row>
    <row r="90" spans="1:11" x14ac:dyDescent="0.6">
      <c r="A90" s="30" t="s">
        <v>176</v>
      </c>
      <c r="B90" s="30" t="s">
        <v>1377</v>
      </c>
    </row>
    <row r="91" spans="1:11" x14ac:dyDescent="0.6">
      <c r="B91" s="30" t="s">
        <v>1378</v>
      </c>
    </row>
    <row r="92" spans="1:11" x14ac:dyDescent="0.6">
      <c r="A92" s="30" t="s">
        <v>178</v>
      </c>
      <c r="B92" s="30" t="s">
        <v>1379</v>
      </c>
    </row>
    <row r="93" spans="1:11" x14ac:dyDescent="0.6">
      <c r="B93" s="30" t="s">
        <v>1380</v>
      </c>
    </row>
    <row r="94" spans="1:11" x14ac:dyDescent="0.6">
      <c r="B94" s="30" t="s">
        <v>1381</v>
      </c>
    </row>
    <row r="96" spans="1:11" x14ac:dyDescent="0.6">
      <c r="B96" s="30" t="s">
        <v>1382</v>
      </c>
    </row>
    <row r="97" spans="1:2" x14ac:dyDescent="0.6">
      <c r="B97" s="30" t="s">
        <v>1383</v>
      </c>
    </row>
    <row r="99" spans="1:2" x14ac:dyDescent="0.6">
      <c r="B99" s="30" t="s">
        <v>1384</v>
      </c>
    </row>
    <row r="100" spans="1:2" x14ac:dyDescent="0.6">
      <c r="B100" s="30" t="s">
        <v>1385</v>
      </c>
    </row>
    <row r="101" spans="1:2" x14ac:dyDescent="0.6">
      <c r="B101" s="30" t="s">
        <v>1386</v>
      </c>
    </row>
    <row r="103" spans="1:2" x14ac:dyDescent="0.6">
      <c r="B103" s="30" t="s">
        <v>1387</v>
      </c>
    </row>
    <row r="104" spans="1:2" x14ac:dyDescent="0.6">
      <c r="A104" s="30">
        <v>1</v>
      </c>
      <c r="B104" s="30" t="s">
        <v>1388</v>
      </c>
    </row>
    <row r="105" spans="1:2" x14ac:dyDescent="0.6">
      <c r="B105" s="30" t="s">
        <v>1389</v>
      </c>
    </row>
    <row r="107" spans="1:2" x14ac:dyDescent="0.6">
      <c r="B107" s="30" t="s">
        <v>1390</v>
      </c>
    </row>
    <row r="109" spans="1:2" x14ac:dyDescent="0.6">
      <c r="A109" s="30">
        <v>2</v>
      </c>
      <c r="B109" s="30" t="s">
        <v>1391</v>
      </c>
    </row>
    <row r="110" spans="1:2" x14ac:dyDescent="0.6">
      <c r="B110" s="30" t="s">
        <v>1392</v>
      </c>
    </row>
    <row r="112" spans="1:2" x14ac:dyDescent="0.6">
      <c r="B112" s="30" t="s">
        <v>1393</v>
      </c>
    </row>
    <row r="114" spans="1:4" x14ac:dyDescent="0.6">
      <c r="B114" s="30" t="s">
        <v>1394</v>
      </c>
    </row>
    <row r="116" spans="1:4" x14ac:dyDescent="0.6">
      <c r="B116" s="110">
        <v>44823</v>
      </c>
    </row>
    <row r="117" spans="1:4" ht="33.450000000000003" x14ac:dyDescent="0.85">
      <c r="B117" s="29" t="s">
        <v>1430</v>
      </c>
    </row>
    <row r="118" spans="1:4" x14ac:dyDescent="0.6">
      <c r="B118" s="30" t="s">
        <v>1431</v>
      </c>
    </row>
    <row r="119" spans="1:4" x14ac:dyDescent="0.6">
      <c r="B119" s="30" t="s">
        <v>1432</v>
      </c>
    </row>
    <row r="121" spans="1:4" x14ac:dyDescent="0.6">
      <c r="B121" s="30" t="s">
        <v>1433</v>
      </c>
    </row>
    <row r="122" spans="1:4" x14ac:dyDescent="0.6">
      <c r="A122" s="30">
        <v>1</v>
      </c>
      <c r="B122" s="30" t="s">
        <v>1434</v>
      </c>
    </row>
    <row r="123" spans="1:4" x14ac:dyDescent="0.6">
      <c r="A123" s="30">
        <v>2</v>
      </c>
      <c r="B123" s="30" t="s">
        <v>1435</v>
      </c>
    </row>
    <row r="124" spans="1:4" x14ac:dyDescent="0.6">
      <c r="B124" s="30" t="s">
        <v>1436</v>
      </c>
    </row>
    <row r="125" spans="1:4" x14ac:dyDescent="0.6">
      <c r="B125" s="30" t="s">
        <v>1437</v>
      </c>
    </row>
    <row r="127" spans="1:4" x14ac:dyDescent="0.6">
      <c r="B127" s="30" t="s">
        <v>1438</v>
      </c>
    </row>
    <row r="128" spans="1:4" x14ac:dyDescent="0.6">
      <c r="B128" s="31" t="s">
        <v>1439</v>
      </c>
      <c r="C128" s="31" t="s">
        <v>1440</v>
      </c>
      <c r="D128" s="31" t="s">
        <v>1441</v>
      </c>
    </row>
    <row r="129" spans="1:4" x14ac:dyDescent="0.6">
      <c r="B129" s="61">
        <v>0.1</v>
      </c>
      <c r="C129" s="61">
        <f>1-B129</f>
        <v>0.9</v>
      </c>
      <c r="D129" s="175" t="s">
        <v>1442</v>
      </c>
    </row>
    <row r="130" spans="1:4" x14ac:dyDescent="0.6">
      <c r="B130" s="61">
        <v>0.05</v>
      </c>
      <c r="C130" s="61">
        <f t="shared" ref="C130:C131" si="0">1-B130</f>
        <v>0.95</v>
      </c>
      <c r="D130" s="175" t="s">
        <v>1443</v>
      </c>
    </row>
    <row r="131" spans="1:4" x14ac:dyDescent="0.6">
      <c r="B131" s="61">
        <v>0.01</v>
      </c>
      <c r="C131" s="61">
        <f t="shared" si="0"/>
        <v>0.99</v>
      </c>
      <c r="D131" s="175" t="s">
        <v>1444</v>
      </c>
    </row>
    <row r="133" spans="1:4" x14ac:dyDescent="0.6">
      <c r="B133" s="30" t="s">
        <v>1445</v>
      </c>
    </row>
    <row r="134" spans="1:4" x14ac:dyDescent="0.6">
      <c r="A134" s="30" t="s">
        <v>16</v>
      </c>
      <c r="B134" s="30" t="s">
        <v>1446</v>
      </c>
    </row>
    <row r="135" spans="1:4" x14ac:dyDescent="0.6">
      <c r="B135" s="30" t="s">
        <v>1447</v>
      </c>
    </row>
    <row r="136" spans="1:4" x14ac:dyDescent="0.6">
      <c r="B136" s="30" t="s">
        <v>1448</v>
      </c>
    </row>
    <row r="138" spans="1:4" x14ac:dyDescent="0.6">
      <c r="A138" s="30" t="s">
        <v>173</v>
      </c>
      <c r="B138" s="30" t="s">
        <v>1449</v>
      </c>
    </row>
    <row r="139" spans="1:4" x14ac:dyDescent="0.6">
      <c r="B139" s="31" t="s">
        <v>132</v>
      </c>
      <c r="C139" s="31">
        <v>500</v>
      </c>
      <c r="D139" s="30" t="s">
        <v>1450</v>
      </c>
    </row>
    <row r="140" spans="1:4" x14ac:dyDescent="0.6">
      <c r="B140" s="31" t="s">
        <v>1366</v>
      </c>
      <c r="C140" s="31">
        <v>33.200000000000003</v>
      </c>
      <c r="D140" s="30" t="s">
        <v>1451</v>
      </c>
    </row>
    <row r="141" spans="1:4" x14ac:dyDescent="0.6">
      <c r="B141" s="31" t="s">
        <v>1452</v>
      </c>
      <c r="C141" s="31">
        <v>3.9</v>
      </c>
      <c r="D141" s="30" t="s">
        <v>1451</v>
      </c>
    </row>
    <row r="142" spans="1:4" x14ac:dyDescent="0.6">
      <c r="B142" s="175" t="s">
        <v>1453</v>
      </c>
      <c r="C142" s="61">
        <v>0.9</v>
      </c>
      <c r="D142" s="30" t="s">
        <v>1440</v>
      </c>
    </row>
    <row r="143" spans="1:4" x14ac:dyDescent="0.6">
      <c r="B143" s="175" t="s">
        <v>573</v>
      </c>
      <c r="C143" s="61">
        <v>0.1</v>
      </c>
      <c r="D143" s="30" t="s">
        <v>1439</v>
      </c>
    </row>
    <row r="145" spans="1:9" x14ac:dyDescent="0.6">
      <c r="A145" s="30" t="s">
        <v>176</v>
      </c>
      <c r="B145" s="30" t="s">
        <v>1454</v>
      </c>
    </row>
    <row r="146" spans="1:9" x14ac:dyDescent="0.6">
      <c r="B146" s="30" t="s">
        <v>1455</v>
      </c>
      <c r="G146" s="30" t="s">
        <v>1456</v>
      </c>
    </row>
    <row r="148" spans="1:9" x14ac:dyDescent="0.6">
      <c r="A148" s="30" t="s">
        <v>178</v>
      </c>
      <c r="B148" s="30" t="s">
        <v>1457</v>
      </c>
    </row>
    <row r="149" spans="1:9" x14ac:dyDescent="0.6">
      <c r="B149" s="30" t="s">
        <v>1458</v>
      </c>
    </row>
    <row r="150" spans="1:9" x14ac:dyDescent="0.6">
      <c r="B150" s="30" t="s">
        <v>1459</v>
      </c>
      <c r="H150" s="178" t="s">
        <v>1460</v>
      </c>
      <c r="I150" s="179">
        <f>NORMSINV(95%)</f>
        <v>1.6448536269514715</v>
      </c>
    </row>
    <row r="152" spans="1:9" x14ac:dyDescent="0.6">
      <c r="D152" s="30" t="s">
        <v>1461</v>
      </c>
    </row>
    <row r="153" spans="1:9" x14ac:dyDescent="0.6">
      <c r="D153" s="30" t="s">
        <v>1462</v>
      </c>
    </row>
    <row r="154" spans="1:9" x14ac:dyDescent="0.6">
      <c r="D154" s="30" t="s">
        <v>1463</v>
      </c>
    </row>
    <row r="155" spans="1:9" x14ac:dyDescent="0.6">
      <c r="D155" s="30" t="s">
        <v>1464</v>
      </c>
    </row>
    <row r="156" spans="1:9" x14ac:dyDescent="0.6">
      <c r="D156" s="30" t="s">
        <v>1465</v>
      </c>
    </row>
    <row r="157" spans="1:9" x14ac:dyDescent="0.6">
      <c r="D157" s="30" t="s">
        <v>1466</v>
      </c>
    </row>
    <row r="162" spans="1:5" x14ac:dyDescent="0.6">
      <c r="A162" s="30" t="s">
        <v>487</v>
      </c>
      <c r="B162" s="30" t="s">
        <v>1467</v>
      </c>
      <c r="E162" s="180">
        <f>NORMSINV(95%)*(3.9/SQRT(500))</f>
        <v>0.28688435278624447</v>
      </c>
    </row>
    <row r="164" spans="1:5" x14ac:dyDescent="0.6">
      <c r="A164" s="30" t="s">
        <v>1468</v>
      </c>
      <c r="B164" s="30" t="s">
        <v>1469</v>
      </c>
    </row>
    <row r="165" spans="1:5" x14ac:dyDescent="0.6">
      <c r="B165" s="30" t="s">
        <v>1470</v>
      </c>
    </row>
    <row r="166" spans="1:5" x14ac:dyDescent="0.6">
      <c r="B166" s="30" t="s">
        <v>1471</v>
      </c>
    </row>
    <row r="167" spans="1:5" x14ac:dyDescent="0.6">
      <c r="B167" s="181" t="s">
        <v>1472</v>
      </c>
    </row>
    <row r="169" spans="1:5" x14ac:dyDescent="0.6">
      <c r="B169" s="30" t="s">
        <v>1473</v>
      </c>
    </row>
    <row r="171" spans="1:5" x14ac:dyDescent="0.6">
      <c r="B171" s="30" t="s">
        <v>1474</v>
      </c>
    </row>
    <row r="172" spans="1:5" x14ac:dyDescent="0.6">
      <c r="A172" s="30" t="s">
        <v>67</v>
      </c>
      <c r="B172" s="30" t="s">
        <v>1475</v>
      </c>
    </row>
    <row r="173" spans="1:5" x14ac:dyDescent="0.6">
      <c r="B173" s="30" t="s">
        <v>1476</v>
      </c>
    </row>
    <row r="174" spans="1:5" x14ac:dyDescent="0.6">
      <c r="B174" s="30" t="s">
        <v>1477</v>
      </c>
    </row>
    <row r="176" spans="1:5" x14ac:dyDescent="0.6">
      <c r="A176" s="30" t="s">
        <v>173</v>
      </c>
      <c r="B176" s="30" t="s">
        <v>1449</v>
      </c>
    </row>
    <row r="177" spans="1:8" x14ac:dyDescent="0.6">
      <c r="B177" s="31" t="s">
        <v>132</v>
      </c>
      <c r="C177" s="31">
        <v>25</v>
      </c>
      <c r="D177" s="30" t="s">
        <v>1478</v>
      </c>
    </row>
    <row r="178" spans="1:8" x14ac:dyDescent="0.6">
      <c r="B178" s="31" t="s">
        <v>1366</v>
      </c>
      <c r="C178" s="71">
        <v>1012.5</v>
      </c>
      <c r="D178" s="30" t="s">
        <v>1479</v>
      </c>
    </row>
    <row r="179" spans="1:8" x14ac:dyDescent="0.6">
      <c r="B179" s="31" t="s">
        <v>1452</v>
      </c>
      <c r="C179" s="31">
        <v>450.25</v>
      </c>
      <c r="D179" s="30" t="s">
        <v>1479</v>
      </c>
    </row>
    <row r="180" spans="1:8" x14ac:dyDescent="0.6">
      <c r="B180" s="175" t="s">
        <v>573</v>
      </c>
      <c r="C180" s="61">
        <v>0.05</v>
      </c>
    </row>
    <row r="181" spans="1:8" x14ac:dyDescent="0.6">
      <c r="B181" s="175" t="s">
        <v>1453</v>
      </c>
      <c r="C181" s="61">
        <f>1-C180</f>
        <v>0.95</v>
      </c>
    </row>
    <row r="183" spans="1:8" x14ac:dyDescent="0.6">
      <c r="A183" s="30" t="s">
        <v>176</v>
      </c>
      <c r="B183" s="30" t="s">
        <v>1480</v>
      </c>
    </row>
    <row r="185" spans="1:8" x14ac:dyDescent="0.6">
      <c r="A185" s="30" t="s">
        <v>178</v>
      </c>
      <c r="B185" s="30" t="s">
        <v>1481</v>
      </c>
    </row>
    <row r="186" spans="1:8" x14ac:dyDescent="0.6">
      <c r="B186" s="30" t="s">
        <v>1482</v>
      </c>
    </row>
    <row r="187" spans="1:8" x14ac:dyDescent="0.6">
      <c r="B187" s="30" t="s">
        <v>1483</v>
      </c>
    </row>
    <row r="189" spans="1:8" x14ac:dyDescent="0.6">
      <c r="B189" s="30" t="s">
        <v>1484</v>
      </c>
      <c r="F189"/>
      <c r="G189" s="34">
        <v>2.0640000000000001</v>
      </c>
      <c r="H189" s="34">
        <f>_xlfn.T.INV(97.5%,24)</f>
        <v>2.0638985616280254</v>
      </c>
    </row>
    <row r="190" spans="1:8" x14ac:dyDescent="0.6">
      <c r="B190" s="30" t="s">
        <v>1485</v>
      </c>
      <c r="H190" s="39" t="s">
        <v>1486</v>
      </c>
    </row>
    <row r="192" spans="1:8" x14ac:dyDescent="0.6">
      <c r="A192" s="30" t="s">
        <v>487</v>
      </c>
      <c r="B192" s="30" t="s">
        <v>1487</v>
      </c>
      <c r="D192" s="180">
        <f>TINV(5%,24)*450.25/5</f>
        <v>185.85406547460369</v>
      </c>
    </row>
    <row r="194" spans="1:4" x14ac:dyDescent="0.6">
      <c r="A194" s="30" t="s">
        <v>1468</v>
      </c>
      <c r="B194" s="30" t="s">
        <v>1469</v>
      </c>
    </row>
    <row r="195" spans="1:4" x14ac:dyDescent="0.6">
      <c r="B195" s="30" t="s">
        <v>1488</v>
      </c>
    </row>
    <row r="196" spans="1:4" x14ac:dyDescent="0.6">
      <c r="B196" s="30" t="s">
        <v>1471</v>
      </c>
    </row>
    <row r="198" spans="1:4" x14ac:dyDescent="0.6">
      <c r="B198" s="181" t="s">
        <v>1489</v>
      </c>
    </row>
    <row r="200" spans="1:4" x14ac:dyDescent="0.6">
      <c r="B200" s="59"/>
    </row>
    <row r="201" spans="1:4" x14ac:dyDescent="0.6">
      <c r="B201" s="30" t="s">
        <v>1490</v>
      </c>
    </row>
    <row r="202" spans="1:4" x14ac:dyDescent="0.6">
      <c r="A202" s="30" t="s">
        <v>286</v>
      </c>
      <c r="B202" s="30" t="s">
        <v>1491</v>
      </c>
    </row>
    <row r="203" spans="1:4" x14ac:dyDescent="0.6">
      <c r="B203" s="30" t="s">
        <v>1492</v>
      </c>
    </row>
    <row r="204" spans="1:4" x14ac:dyDescent="0.6">
      <c r="B204" s="30" t="s">
        <v>1493</v>
      </c>
    </row>
    <row r="206" spans="1:4" x14ac:dyDescent="0.6">
      <c r="A206" s="30" t="s">
        <v>173</v>
      </c>
      <c r="B206" s="30" t="s">
        <v>1449</v>
      </c>
    </row>
    <row r="207" spans="1:4" x14ac:dyDescent="0.6">
      <c r="B207" s="31" t="s">
        <v>132</v>
      </c>
      <c r="C207" s="31">
        <v>26</v>
      </c>
      <c r="D207" s="30" t="s">
        <v>1478</v>
      </c>
    </row>
    <row r="208" spans="1:4" x14ac:dyDescent="0.6">
      <c r="B208" s="32" t="s">
        <v>991</v>
      </c>
      <c r="C208" s="136">
        <f>10/26</f>
        <v>0.38461538461538464</v>
      </c>
    </row>
    <row r="209" spans="1:7" x14ac:dyDescent="0.6">
      <c r="B209" s="175" t="s">
        <v>573</v>
      </c>
      <c r="C209" s="61">
        <v>0.01</v>
      </c>
    </row>
    <row r="210" spans="1:7" x14ac:dyDescent="0.6">
      <c r="B210" s="175" t="s">
        <v>1453</v>
      </c>
      <c r="C210" s="61">
        <f>1-C209</f>
        <v>0.99</v>
      </c>
    </row>
    <row r="212" spans="1:7" x14ac:dyDescent="0.6">
      <c r="A212" s="30" t="s">
        <v>176</v>
      </c>
      <c r="B212" s="30" t="s">
        <v>1494</v>
      </c>
    </row>
    <row r="213" spans="1:7" x14ac:dyDescent="0.6">
      <c r="B213" s="30" t="s">
        <v>1495</v>
      </c>
    </row>
    <row r="214" spans="1:7" x14ac:dyDescent="0.6">
      <c r="B214" s="30" t="s">
        <v>1496</v>
      </c>
    </row>
    <row r="215" spans="1:7" x14ac:dyDescent="0.6">
      <c r="B215" s="30" t="s">
        <v>1497</v>
      </c>
    </row>
    <row r="217" spans="1:7" x14ac:dyDescent="0.6">
      <c r="A217" s="30" t="s">
        <v>178</v>
      </c>
      <c r="B217" s="30" t="s">
        <v>1481</v>
      </c>
    </row>
    <row r="218" spans="1:7" x14ac:dyDescent="0.6">
      <c r="B218" s="30" t="s">
        <v>1498</v>
      </c>
      <c r="G218" s="136">
        <f>_xlfn.T.INV(99.5%,25)</f>
        <v>2.7874358136769692</v>
      </c>
    </row>
    <row r="219" spans="1:7" x14ac:dyDescent="0.6">
      <c r="G219" s="30" t="s">
        <v>1499</v>
      </c>
    </row>
    <row r="220" spans="1:7" x14ac:dyDescent="0.6">
      <c r="A220" s="30" t="s">
        <v>487</v>
      </c>
      <c r="B220" s="30" t="s">
        <v>1500</v>
      </c>
      <c r="D220" s="136">
        <f>G218*0.0954</f>
        <v>0.26592137662478288</v>
      </c>
    </row>
    <row r="222" spans="1:7" x14ac:dyDescent="0.6">
      <c r="A222" s="30" t="s">
        <v>1468</v>
      </c>
      <c r="B222" s="30" t="s">
        <v>1501</v>
      </c>
    </row>
    <row r="223" spans="1:7" x14ac:dyDescent="0.6">
      <c r="C223" s="153">
        <f>(10/26)-D220</f>
        <v>0.11869400799060176</v>
      </c>
      <c r="D223" s="153">
        <f>(10/26)+D220</f>
        <v>0.65053676124016757</v>
      </c>
    </row>
    <row r="225" spans="1:7" x14ac:dyDescent="0.6">
      <c r="B225" s="30" t="s">
        <v>1502</v>
      </c>
    </row>
    <row r="226" spans="1:7" x14ac:dyDescent="0.6">
      <c r="A226" s="30" t="s">
        <v>298</v>
      </c>
      <c r="B226" s="30" t="s">
        <v>1503</v>
      </c>
    </row>
    <row r="227" spans="1:7" x14ac:dyDescent="0.6">
      <c r="B227" s="30" t="s">
        <v>1504</v>
      </c>
    </row>
    <row r="228" spans="1:7" x14ac:dyDescent="0.6">
      <c r="B228" s="30" t="s">
        <v>1505</v>
      </c>
    </row>
    <row r="230" spans="1:7" x14ac:dyDescent="0.6">
      <c r="A230" s="30" t="s">
        <v>173</v>
      </c>
      <c r="B230" s="30" t="s">
        <v>1449</v>
      </c>
    </row>
    <row r="231" spans="1:7" x14ac:dyDescent="0.6">
      <c r="B231" s="31" t="s">
        <v>132</v>
      </c>
      <c r="C231" s="31">
        <v>300</v>
      </c>
    </row>
    <row r="232" spans="1:7" x14ac:dyDescent="0.6">
      <c r="B232" s="32" t="s">
        <v>991</v>
      </c>
      <c r="C232" s="136">
        <f>107/300</f>
        <v>0.35666666666666669</v>
      </c>
    </row>
    <row r="233" spans="1:7" x14ac:dyDescent="0.6">
      <c r="B233" s="175" t="s">
        <v>573</v>
      </c>
      <c r="C233" s="61">
        <v>0.05</v>
      </c>
    </row>
    <row r="234" spans="1:7" x14ac:dyDescent="0.6">
      <c r="B234" s="175" t="s">
        <v>1453</v>
      </c>
      <c r="C234" s="61">
        <f>1-C233</f>
        <v>0.95</v>
      </c>
    </row>
    <row r="236" spans="1:7" x14ac:dyDescent="0.6">
      <c r="A236" s="30" t="s">
        <v>176</v>
      </c>
      <c r="B236" s="30" t="s">
        <v>1506</v>
      </c>
    </row>
    <row r="237" spans="1:7" x14ac:dyDescent="0.6">
      <c r="B237" s="30" t="s">
        <v>1495</v>
      </c>
    </row>
    <row r="239" spans="1:7" x14ac:dyDescent="0.6">
      <c r="A239" s="30" t="s">
        <v>178</v>
      </c>
      <c r="B239" s="30" t="s">
        <v>1507</v>
      </c>
    </row>
    <row r="240" spans="1:7" x14ac:dyDescent="0.6">
      <c r="B240" s="30" t="s">
        <v>1508</v>
      </c>
      <c r="E240" s="69">
        <f>NORMSINV(C233/2)</f>
        <v>-1.9599639845400538</v>
      </c>
      <c r="F240" s="39" t="s">
        <v>615</v>
      </c>
      <c r="G240" s="34">
        <f>NORMSINV(1-(C233/2))</f>
        <v>1.9599639845400536</v>
      </c>
    </row>
    <row r="241" spans="1:4" x14ac:dyDescent="0.6">
      <c r="B241"/>
    </row>
    <row r="252" spans="1:4" x14ac:dyDescent="0.6">
      <c r="A252" s="30" t="s">
        <v>487</v>
      </c>
      <c r="B252" s="30" t="s">
        <v>1509</v>
      </c>
      <c r="D252" s="180">
        <f>G240*0.0277</f>
        <v>5.4291002371759482E-2</v>
      </c>
    </row>
    <row r="254" spans="1:4" x14ac:dyDescent="0.6">
      <c r="A254" s="30" t="s">
        <v>1468</v>
      </c>
      <c r="B254" s="30" t="s">
        <v>1602</v>
      </c>
    </row>
    <row r="255" spans="1:4" x14ac:dyDescent="0.6">
      <c r="C255" s="182">
        <f>C232-D252</f>
        <v>0.3023756642949072</v>
      </c>
      <c r="D255" s="182">
        <f>C232+D252</f>
        <v>0.41095766903842618</v>
      </c>
    </row>
    <row r="256" spans="1:4" x14ac:dyDescent="0.6">
      <c r="B256" s="30" t="s">
        <v>1510</v>
      </c>
    </row>
    <row r="259" spans="1:9" x14ac:dyDescent="0.6">
      <c r="A259" s="30" t="s">
        <v>703</v>
      </c>
      <c r="B259" s="30" t="s">
        <v>1511</v>
      </c>
    </row>
    <row r="260" spans="1:9" x14ac:dyDescent="0.6">
      <c r="A260" s="30" t="s">
        <v>173</v>
      </c>
      <c r="B260" s="30" t="s">
        <v>1449</v>
      </c>
    </row>
    <row r="261" spans="1:9" x14ac:dyDescent="0.6">
      <c r="B261" s="31" t="s">
        <v>132</v>
      </c>
      <c r="C261" s="31">
        <v>15</v>
      </c>
    </row>
    <row r="262" spans="1:9" x14ac:dyDescent="0.6">
      <c r="B262" s="31" t="s">
        <v>991</v>
      </c>
      <c r="C262" s="183">
        <v>0.3</v>
      </c>
    </row>
    <row r="263" spans="1:9" x14ac:dyDescent="0.6">
      <c r="B263" s="175" t="s">
        <v>573</v>
      </c>
      <c r="C263" s="183">
        <v>0.1</v>
      </c>
    </row>
    <row r="265" spans="1:9" x14ac:dyDescent="0.6">
      <c r="A265" s="30" t="s">
        <v>176</v>
      </c>
      <c r="B265" s="30" t="s">
        <v>1512</v>
      </c>
    </row>
    <row r="266" spans="1:9" x14ac:dyDescent="0.6">
      <c r="A266" s="30" t="s">
        <v>178</v>
      </c>
      <c r="B266" s="30" t="s">
        <v>1481</v>
      </c>
      <c r="F266"/>
      <c r="G266"/>
      <c r="H266"/>
      <c r="I266"/>
    </row>
    <row r="267" spans="1:9" x14ac:dyDescent="0.6">
      <c r="B267" s="30" t="s">
        <v>1513</v>
      </c>
      <c r="F267" s="32">
        <f>-TINV(C263,(C261-1))</f>
        <v>-1.7613101357748921</v>
      </c>
      <c r="G267" s="39" t="s">
        <v>615</v>
      </c>
      <c r="H267" s="184">
        <f>TINV(C263,(C261-1))</f>
        <v>1.7613101357748921</v>
      </c>
    </row>
    <row r="268" spans="1:9" x14ac:dyDescent="0.6">
      <c r="A268" s="30" t="s">
        <v>487</v>
      </c>
      <c r="B268" s="30" t="s">
        <v>1514</v>
      </c>
      <c r="D268" s="180">
        <f>H267*0.118321595</f>
        <v>0.20840102455455181</v>
      </c>
      <c r="E268"/>
    </row>
    <row r="269" spans="1:9" x14ac:dyDescent="0.6">
      <c r="A269" s="30" t="s">
        <v>1468</v>
      </c>
      <c r="B269" s="30" t="s">
        <v>1515</v>
      </c>
      <c r="E269"/>
      <c r="F269"/>
      <c r="G269"/>
      <c r="H269" s="185">
        <f>C262-D268</f>
        <v>9.1598975445448177E-2</v>
      </c>
      <c r="I269" s="185">
        <f>C262+D268</f>
        <v>0.50840102455455183</v>
      </c>
    </row>
    <row r="272" spans="1:9" x14ac:dyDescent="0.6">
      <c r="A272" s="30" t="s">
        <v>724</v>
      </c>
      <c r="B272" s="30" t="s">
        <v>1516</v>
      </c>
      <c r="E272"/>
      <c r="F272"/>
    </row>
    <row r="273" spans="1:6" x14ac:dyDescent="0.6">
      <c r="A273"/>
      <c r="B273" s="30" t="s">
        <v>1517</v>
      </c>
      <c r="C273" s="182">
        <v>0.497</v>
      </c>
      <c r="D273" s="182">
        <v>0.70299999999999996</v>
      </c>
      <c r="E273"/>
      <c r="F273"/>
    </row>
    <row r="274" spans="1:6" x14ac:dyDescent="0.6">
      <c r="A274"/>
      <c r="B274" s="30" t="s">
        <v>1518</v>
      </c>
      <c r="C274"/>
      <c r="D274"/>
      <c r="E274"/>
      <c r="F274"/>
    </row>
    <row r="276" spans="1:6" x14ac:dyDescent="0.6">
      <c r="A276" s="30" t="s">
        <v>173</v>
      </c>
      <c r="B276" s="30" t="s">
        <v>1519</v>
      </c>
    </row>
    <row r="277" spans="1:6" x14ac:dyDescent="0.6">
      <c r="B277" s="30" t="s">
        <v>1520</v>
      </c>
    </row>
    <row r="278" spans="1:6" x14ac:dyDescent="0.6">
      <c r="B278" s="108" t="s">
        <v>1521</v>
      </c>
      <c r="C278" s="113">
        <v>0.70299999999999996</v>
      </c>
    </row>
    <row r="279" spans="1:6" x14ac:dyDescent="0.6">
      <c r="B279" s="108" t="s">
        <v>1522</v>
      </c>
      <c r="C279" s="113">
        <v>0.497</v>
      </c>
    </row>
    <row r="280" spans="1:6" x14ac:dyDescent="0.6">
      <c r="B280" s="30" t="s">
        <v>1523</v>
      </c>
    </row>
    <row r="282" spans="1:6" x14ac:dyDescent="0.6">
      <c r="A282" s="30" t="s">
        <v>176</v>
      </c>
      <c r="B282" s="30" t="s">
        <v>1524</v>
      </c>
    </row>
    <row r="283" spans="1:6" x14ac:dyDescent="0.6">
      <c r="B283" s="30" t="s">
        <v>1525</v>
      </c>
      <c r="D283" s="32">
        <f>NORMSINV(0.5%)</f>
        <v>-2.5758293035488999</v>
      </c>
      <c r="E283" s="39" t="s">
        <v>615</v>
      </c>
      <c r="F283" s="184">
        <f>NORMSINV(99.5%)</f>
        <v>2.5758293035488999</v>
      </c>
    </row>
    <row r="284" spans="1:6" x14ac:dyDescent="0.6">
      <c r="A284" s="30" t="s">
        <v>178</v>
      </c>
      <c r="B284" s="30" t="s">
        <v>1526</v>
      </c>
      <c r="D284"/>
      <c r="E284" s="70">
        <f>0.103/F283</f>
        <v>3.9987121762334835E-2</v>
      </c>
    </row>
    <row r="285" spans="1:6" x14ac:dyDescent="0.6">
      <c r="A285" s="30" t="s">
        <v>487</v>
      </c>
      <c r="B285" s="30" t="s">
        <v>1527</v>
      </c>
      <c r="C285"/>
      <c r="D285"/>
      <c r="E285"/>
      <c r="F285"/>
    </row>
    <row r="286" spans="1:6" x14ac:dyDescent="0.6">
      <c r="B286" s="30" t="s">
        <v>1528</v>
      </c>
    </row>
    <row r="289" s="30" customFormat="1" x14ac:dyDescent="0.6"/>
  </sheetData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53BC-AAE2-4F14-B73B-8E62085C059C}">
  <dimension ref="A2:O698"/>
  <sheetViews>
    <sheetView topLeftCell="A459" zoomScale="39" zoomScaleNormal="55" workbookViewId="0">
      <selection activeCell="C205" sqref="C205"/>
    </sheetView>
  </sheetViews>
  <sheetFormatPr defaultColWidth="8.84375" defaultRowHeight="23.15" x14ac:dyDescent="0.6"/>
  <cols>
    <col min="1" max="1" width="18.4609375" style="30" customWidth="1"/>
    <col min="2" max="3" width="29.3046875" style="30" customWidth="1"/>
    <col min="4" max="4" width="34.69140625" style="30" customWidth="1"/>
    <col min="5" max="5" width="26.84375" style="30" customWidth="1"/>
    <col min="6" max="6" width="28" style="30" customWidth="1"/>
    <col min="7" max="7" width="18.69140625" style="30" customWidth="1"/>
    <col min="8" max="8" width="20.23046875" style="30" customWidth="1"/>
    <col min="9" max="9" width="13" style="30" customWidth="1"/>
    <col min="10" max="10" width="11.4609375" style="30" customWidth="1"/>
    <col min="11" max="12" width="8.84375" style="30"/>
    <col min="13" max="13" width="10.3046875" style="30" customWidth="1"/>
    <col min="14" max="16384" width="8.84375" style="30"/>
  </cols>
  <sheetData>
    <row r="2" spans="1:3" ht="30.9" x14ac:dyDescent="0.8">
      <c r="A2" s="2" t="s">
        <v>449</v>
      </c>
      <c r="B2" s="2" t="s">
        <v>1307</v>
      </c>
    </row>
    <row r="4" spans="1:3" x14ac:dyDescent="0.6">
      <c r="B4" s="30" t="s">
        <v>1529</v>
      </c>
    </row>
    <row r="5" spans="1:3" x14ac:dyDescent="0.6">
      <c r="B5" s="30" t="s">
        <v>1530</v>
      </c>
    </row>
    <row r="7" spans="1:3" x14ac:dyDescent="0.6">
      <c r="B7" s="30" t="s">
        <v>1531</v>
      </c>
    </row>
    <row r="8" spans="1:3" x14ac:dyDescent="0.6">
      <c r="B8" s="30" t="s">
        <v>1532</v>
      </c>
    </row>
    <row r="10" spans="1:3" x14ac:dyDescent="0.6">
      <c r="B10" s="30" t="s">
        <v>1533</v>
      </c>
    </row>
    <row r="11" spans="1:3" x14ac:dyDescent="0.6">
      <c r="A11" s="30" t="s">
        <v>448</v>
      </c>
      <c r="B11" s="30" t="s">
        <v>1534</v>
      </c>
    </row>
    <row r="12" spans="1:3" x14ac:dyDescent="0.6">
      <c r="A12" s="30" t="s">
        <v>449</v>
      </c>
      <c r="B12" s="30" t="s">
        <v>1535</v>
      </c>
    </row>
    <row r="15" spans="1:3" x14ac:dyDescent="0.6">
      <c r="A15" s="30" t="s">
        <v>448</v>
      </c>
      <c r="B15" s="30" t="s">
        <v>1534</v>
      </c>
    </row>
    <row r="16" spans="1:3" x14ac:dyDescent="0.6">
      <c r="A16" s="91">
        <v>1</v>
      </c>
      <c r="B16" s="91" t="s">
        <v>1536</v>
      </c>
      <c r="C16" s="91"/>
    </row>
    <row r="17" spans="1:6" x14ac:dyDescent="0.6">
      <c r="A17" s="30">
        <v>2</v>
      </c>
      <c r="B17" s="30" t="s">
        <v>1537</v>
      </c>
    </row>
    <row r="18" spans="1:6" x14ac:dyDescent="0.6">
      <c r="A18" s="91">
        <v>3</v>
      </c>
      <c r="B18" s="91" t="s">
        <v>1538</v>
      </c>
      <c r="C18" s="91"/>
      <c r="D18" s="91"/>
      <c r="E18" s="91"/>
      <c r="F18" s="91"/>
    </row>
    <row r="19" spans="1:6" x14ac:dyDescent="0.6">
      <c r="A19" s="30">
        <v>4</v>
      </c>
      <c r="B19" s="30" t="s">
        <v>1539</v>
      </c>
    </row>
    <row r="22" spans="1:6" x14ac:dyDescent="0.6">
      <c r="A22" s="30" t="s">
        <v>449</v>
      </c>
      <c r="B22" s="30" t="s">
        <v>1535</v>
      </c>
    </row>
    <row r="23" spans="1:6" x14ac:dyDescent="0.6">
      <c r="A23" s="91">
        <v>1</v>
      </c>
      <c r="B23" s="91" t="s">
        <v>1540</v>
      </c>
      <c r="C23" s="91"/>
      <c r="D23" s="91"/>
    </row>
    <row r="24" spans="1:6" x14ac:dyDescent="0.6">
      <c r="A24" s="186" t="s">
        <v>608</v>
      </c>
      <c r="B24" s="91" t="s">
        <v>1541</v>
      </c>
      <c r="C24" s="91"/>
      <c r="D24" s="91"/>
    </row>
    <row r="25" spans="1:6" x14ac:dyDescent="0.6">
      <c r="A25" s="186" t="s">
        <v>610</v>
      </c>
      <c r="B25" s="91" t="s">
        <v>1542</v>
      </c>
      <c r="C25" s="91"/>
      <c r="D25" s="91"/>
    </row>
    <row r="26" spans="1:6" x14ac:dyDescent="0.6">
      <c r="A26" s="30">
        <v>2</v>
      </c>
      <c r="B26" s="30" t="s">
        <v>1543</v>
      </c>
      <c r="C26"/>
    </row>
    <row r="27" spans="1:6" x14ac:dyDescent="0.6">
      <c r="A27" s="30">
        <v>3</v>
      </c>
      <c r="B27" s="30" t="s">
        <v>1544</v>
      </c>
      <c r="C27"/>
    </row>
    <row r="28" spans="1:6" x14ac:dyDescent="0.6">
      <c r="A28" s="30">
        <v>4</v>
      </c>
      <c r="B28" s="30" t="s">
        <v>1545</v>
      </c>
      <c r="C28"/>
    </row>
    <row r="29" spans="1:6" x14ac:dyDescent="0.6">
      <c r="A29" s="30">
        <v>5</v>
      </c>
      <c r="B29" s="30" t="s">
        <v>1546</v>
      </c>
      <c r="C29"/>
    </row>
    <row r="30" spans="1:6" x14ac:dyDescent="0.6">
      <c r="A30" s="30">
        <v>6</v>
      </c>
      <c r="B30" s="30" t="s">
        <v>1547</v>
      </c>
      <c r="C30"/>
    </row>
    <row r="31" spans="1:6" x14ac:dyDescent="0.6">
      <c r="A31" s="30">
        <v>7</v>
      </c>
      <c r="B31" s="30" t="s">
        <v>1548</v>
      </c>
      <c r="C31"/>
    </row>
    <row r="32" spans="1:6" x14ac:dyDescent="0.6">
      <c r="A32" s="91">
        <v>8</v>
      </c>
      <c r="B32" s="91" t="s">
        <v>1549</v>
      </c>
      <c r="C32" s="138"/>
    </row>
    <row r="35" spans="1:2" x14ac:dyDescent="0.6">
      <c r="A35" s="30" t="s">
        <v>448</v>
      </c>
      <c r="B35" s="30" t="s">
        <v>1534</v>
      </c>
    </row>
    <row r="36" spans="1:2" x14ac:dyDescent="0.6">
      <c r="A36" s="30">
        <v>1</v>
      </c>
      <c r="B36" s="30" t="s">
        <v>1536</v>
      </c>
    </row>
    <row r="38" spans="1:2" x14ac:dyDescent="0.6">
      <c r="A38" s="30" t="s">
        <v>448</v>
      </c>
      <c r="B38" s="30" t="s">
        <v>1550</v>
      </c>
    </row>
    <row r="39" spans="1:2" x14ac:dyDescent="0.6">
      <c r="A39" s="30" t="s">
        <v>449</v>
      </c>
      <c r="B39" s="30" t="s">
        <v>1551</v>
      </c>
    </row>
    <row r="41" spans="1:2" x14ac:dyDescent="0.6">
      <c r="A41" s="30" t="s">
        <v>16</v>
      </c>
      <c r="B41" s="30" t="s">
        <v>1552</v>
      </c>
    </row>
    <row r="42" spans="1:2" x14ac:dyDescent="0.6">
      <c r="B42" s="30" t="s">
        <v>1553</v>
      </c>
    </row>
    <row r="43" spans="1:2" x14ac:dyDescent="0.6">
      <c r="B43" s="30" t="s">
        <v>1554</v>
      </c>
    </row>
    <row r="44" spans="1:2" x14ac:dyDescent="0.6">
      <c r="B44" s="30" t="s">
        <v>1555</v>
      </c>
    </row>
    <row r="46" spans="1:2" x14ac:dyDescent="0.6">
      <c r="A46" s="30" t="s">
        <v>173</v>
      </c>
      <c r="B46" s="30" t="s">
        <v>456</v>
      </c>
    </row>
    <row r="47" spans="1:2" x14ac:dyDescent="0.6">
      <c r="B47" s="30" t="s">
        <v>1556</v>
      </c>
    </row>
    <row r="48" spans="1:2" x14ac:dyDescent="0.6">
      <c r="B48" s="181" t="s">
        <v>1557</v>
      </c>
    </row>
    <row r="50" spans="1:7" x14ac:dyDescent="0.6">
      <c r="B50" s="30" t="s">
        <v>1558</v>
      </c>
    </row>
    <row r="51" spans="1:7" x14ac:dyDescent="0.6">
      <c r="B51" s="30" t="s">
        <v>1559</v>
      </c>
    </row>
    <row r="52" spans="1:7" x14ac:dyDescent="0.6">
      <c r="B52" s="181" t="s">
        <v>1560</v>
      </c>
    </row>
    <row r="54" spans="1:7" x14ac:dyDescent="0.6">
      <c r="A54" s="30" t="s">
        <v>176</v>
      </c>
      <c r="B54" s="30" t="s">
        <v>1561</v>
      </c>
      <c r="C54" s="31" t="s">
        <v>132</v>
      </c>
      <c r="D54" s="31">
        <v>500</v>
      </c>
    </row>
    <row r="55" spans="1:7" x14ac:dyDescent="0.6">
      <c r="C55" s="31" t="s">
        <v>1366</v>
      </c>
      <c r="D55" s="31">
        <v>14.7</v>
      </c>
      <c r="E55" s="30" t="s">
        <v>1451</v>
      </c>
    </row>
    <row r="56" spans="1:7" x14ac:dyDescent="0.6">
      <c r="C56" s="31" t="s">
        <v>1368</v>
      </c>
      <c r="D56" s="31">
        <v>2.9</v>
      </c>
      <c r="E56" s="30" t="s">
        <v>1451</v>
      </c>
    </row>
    <row r="57" spans="1:7" x14ac:dyDescent="0.6">
      <c r="C57" s="175" t="s">
        <v>573</v>
      </c>
      <c r="D57" s="61">
        <v>0.1</v>
      </c>
    </row>
    <row r="58" spans="1:7" x14ac:dyDescent="0.6">
      <c r="C58" s="31" t="s">
        <v>1562</v>
      </c>
      <c r="D58" s="61">
        <v>0.9</v>
      </c>
    </row>
    <row r="60" spans="1:7" x14ac:dyDescent="0.6">
      <c r="A60" s="30" t="s">
        <v>178</v>
      </c>
      <c r="B60" s="30" t="s">
        <v>1563</v>
      </c>
    </row>
    <row r="62" spans="1:7" x14ac:dyDescent="0.6">
      <c r="A62" s="30" t="s">
        <v>487</v>
      </c>
      <c r="B62" s="30" t="s">
        <v>1564</v>
      </c>
      <c r="C62"/>
      <c r="D62"/>
      <c r="E62"/>
      <c r="F62"/>
    </row>
    <row r="63" spans="1:7" x14ac:dyDescent="0.6">
      <c r="B63" s="30" t="s">
        <v>1565</v>
      </c>
      <c r="C63"/>
      <c r="E63" s="32">
        <f>NORMSINV(5%)</f>
        <v>-1.6448536269514726</v>
      </c>
      <c r="F63" s="39" t="s">
        <v>615</v>
      </c>
      <c r="G63" s="34">
        <f>NORMSINV(95%)</f>
        <v>1.6448536269514715</v>
      </c>
    </row>
    <row r="65" spans="1:10" x14ac:dyDescent="0.6">
      <c r="B65" s="30" t="s">
        <v>1566</v>
      </c>
    </row>
    <row r="66" spans="1:10" x14ac:dyDescent="0.6">
      <c r="A66" s="30" t="s">
        <v>1468</v>
      </c>
      <c r="B66" s="30" t="s">
        <v>1567</v>
      </c>
      <c r="J66" s="187">
        <f>(D55-16)/0.1297</f>
        <v>-10.023130300693914</v>
      </c>
    </row>
    <row r="68" spans="1:10" x14ac:dyDescent="0.6">
      <c r="A68" s="30" t="s">
        <v>1568</v>
      </c>
      <c r="B68" s="30" t="s">
        <v>1569</v>
      </c>
    </row>
    <row r="69" spans="1:10" x14ac:dyDescent="0.6">
      <c r="B69" s="30" t="s">
        <v>1570</v>
      </c>
    </row>
    <row r="71" spans="1:10" x14ac:dyDescent="0.6">
      <c r="B71" s="30" t="s">
        <v>1571</v>
      </c>
    </row>
    <row r="75" spans="1:10" x14ac:dyDescent="0.6">
      <c r="A75" s="30" t="s">
        <v>1572</v>
      </c>
      <c r="B75" s="30" t="s">
        <v>1573</v>
      </c>
    </row>
    <row r="77" spans="1:10" x14ac:dyDescent="0.6">
      <c r="A77" s="30" t="s">
        <v>173</v>
      </c>
      <c r="B77" s="30" t="s">
        <v>1574</v>
      </c>
    </row>
    <row r="78" spans="1:10" x14ac:dyDescent="0.6">
      <c r="B78" s="30" t="s">
        <v>1575</v>
      </c>
    </row>
    <row r="79" spans="1:10" x14ac:dyDescent="0.6">
      <c r="B79" s="181" t="s">
        <v>1576</v>
      </c>
    </row>
    <row r="81" spans="1:10" x14ac:dyDescent="0.6">
      <c r="B81" s="30" t="s">
        <v>1577</v>
      </c>
    </row>
    <row r="82" spans="1:10" x14ac:dyDescent="0.6">
      <c r="B82" s="30" t="s">
        <v>1578</v>
      </c>
    </row>
    <row r="83" spans="1:10" x14ac:dyDescent="0.6">
      <c r="B83" s="181" t="s">
        <v>1579</v>
      </c>
    </row>
    <row r="85" spans="1:10" x14ac:dyDescent="0.6">
      <c r="B85" s="30" t="s">
        <v>1580</v>
      </c>
    </row>
    <row r="86" spans="1:10" ht="26.15" x14ac:dyDescent="0.7">
      <c r="B86" s="50" t="s">
        <v>1581</v>
      </c>
      <c r="C86" s="91"/>
      <c r="D86" s="91"/>
      <c r="E86" s="91"/>
      <c r="F86" s="91"/>
      <c r="G86" s="91"/>
      <c r="H86" s="91"/>
      <c r="I86" s="91"/>
      <c r="J86" s="91"/>
    </row>
    <row r="88" spans="1:10" x14ac:dyDescent="0.6">
      <c r="A88" s="30" t="s">
        <v>176</v>
      </c>
      <c r="B88" s="30" t="s">
        <v>1561</v>
      </c>
      <c r="C88" s="31" t="s">
        <v>132</v>
      </c>
      <c r="D88" s="31">
        <v>500</v>
      </c>
    </row>
    <row r="89" spans="1:10" x14ac:dyDescent="0.6">
      <c r="C89" s="31" t="s">
        <v>1366</v>
      </c>
      <c r="D89" s="31">
        <v>14.7</v>
      </c>
      <c r="E89" s="30" t="s">
        <v>1451</v>
      </c>
    </row>
    <row r="90" spans="1:10" x14ac:dyDescent="0.6">
      <c r="C90" s="31" t="s">
        <v>1368</v>
      </c>
      <c r="D90" s="31">
        <v>2.9</v>
      </c>
      <c r="E90" s="30" t="s">
        <v>1451</v>
      </c>
    </row>
    <row r="91" spans="1:10" x14ac:dyDescent="0.6">
      <c r="C91" s="175" t="s">
        <v>573</v>
      </c>
      <c r="D91" s="61">
        <v>0.1</v>
      </c>
    </row>
    <row r="92" spans="1:10" x14ac:dyDescent="0.6">
      <c r="C92" s="31" t="s">
        <v>1562</v>
      </c>
      <c r="D92" s="61">
        <v>0.9</v>
      </c>
    </row>
    <row r="94" spans="1:10" x14ac:dyDescent="0.6">
      <c r="A94" s="30" t="s">
        <v>178</v>
      </c>
      <c r="B94" s="30" t="s">
        <v>1563</v>
      </c>
    </row>
    <row r="96" spans="1:10" x14ac:dyDescent="0.6">
      <c r="A96" s="30" t="s">
        <v>487</v>
      </c>
      <c r="B96" s="30" t="s">
        <v>1582</v>
      </c>
    </row>
    <row r="97" spans="1:9" x14ac:dyDescent="0.6">
      <c r="B97" s="30" t="s">
        <v>1583</v>
      </c>
      <c r="D97" s="32">
        <f>NORMSINV(10%)</f>
        <v>-1.2815515655446006</v>
      </c>
    </row>
    <row r="99" spans="1:9" x14ac:dyDescent="0.6">
      <c r="A99" s="30" t="s">
        <v>1468</v>
      </c>
      <c r="B99" s="30" t="s">
        <v>1567</v>
      </c>
      <c r="I99" s="187">
        <f>(14.7-16)/0.1297</f>
        <v>-10.023130300693914</v>
      </c>
    </row>
    <row r="101" spans="1:9" x14ac:dyDescent="0.6">
      <c r="A101" s="30" t="s">
        <v>1568</v>
      </c>
      <c r="B101" s="30" t="s">
        <v>1584</v>
      </c>
    </row>
    <row r="102" spans="1:9" x14ac:dyDescent="0.6">
      <c r="B102" s="30" t="s">
        <v>1585</v>
      </c>
    </row>
    <row r="103" spans="1:9" x14ac:dyDescent="0.6">
      <c r="B103" s="30" t="s">
        <v>1586</v>
      </c>
    </row>
    <row r="105" spans="1:9" ht="33.450000000000003" x14ac:dyDescent="0.85">
      <c r="B105" s="29" t="s">
        <v>1587</v>
      </c>
    </row>
    <row r="106" spans="1:9" x14ac:dyDescent="0.6">
      <c r="B106" s="30" t="s">
        <v>1588</v>
      </c>
    </row>
    <row r="107" spans="1:9" x14ac:dyDescent="0.6">
      <c r="B107" s="30" t="s">
        <v>1589</v>
      </c>
    </row>
    <row r="109" spans="1:9" x14ac:dyDescent="0.6">
      <c r="B109" s="30" t="s">
        <v>1590</v>
      </c>
    </row>
    <row r="110" spans="1:9" x14ac:dyDescent="0.6">
      <c r="B110" s="30" t="s">
        <v>1591</v>
      </c>
    </row>
    <row r="112" spans="1:9" ht="46.3" x14ac:dyDescent="0.6">
      <c r="A112" s="30" t="s">
        <v>16</v>
      </c>
      <c r="B112" s="37" t="s">
        <v>1592</v>
      </c>
      <c r="C112" s="37" t="s">
        <v>1593</v>
      </c>
      <c r="D112" s="37" t="s">
        <v>1594</v>
      </c>
    </row>
    <row r="113" spans="2:5" x14ac:dyDescent="0.6">
      <c r="B113" s="37" t="s">
        <v>1595</v>
      </c>
      <c r="C113" s="37">
        <f>NORMSDIST(-10.02)</f>
        <v>6.2251472915398712E-24</v>
      </c>
      <c r="D113" s="37">
        <f>2*C113</f>
        <v>1.2450294583079742E-23</v>
      </c>
    </row>
    <row r="115" spans="2:5" ht="28.3" x14ac:dyDescent="0.75">
      <c r="B115" s="86" t="s">
        <v>1596</v>
      </c>
    </row>
    <row r="116" spans="2:5" x14ac:dyDescent="0.6">
      <c r="B116" s="30" t="s">
        <v>1597</v>
      </c>
    </row>
    <row r="117" spans="2:5" x14ac:dyDescent="0.6">
      <c r="B117" s="30" t="s">
        <v>1598</v>
      </c>
    </row>
    <row r="118" spans="2:5" x14ac:dyDescent="0.6">
      <c r="B118" s="91" t="s">
        <v>1599</v>
      </c>
      <c r="C118" s="91"/>
      <c r="D118" s="91"/>
    </row>
    <row r="119" spans="2:5" x14ac:dyDescent="0.6">
      <c r="B119" s="91" t="s">
        <v>1600</v>
      </c>
      <c r="C119" s="91"/>
      <c r="D119" s="91"/>
    </row>
    <row r="121" spans="2:5" x14ac:dyDescent="0.6">
      <c r="B121" s="30" t="s">
        <v>1601</v>
      </c>
    </row>
    <row r="122" spans="2:5" x14ac:dyDescent="0.6">
      <c r="B122" s="59">
        <v>44830</v>
      </c>
    </row>
    <row r="123" spans="2:5" ht="46.3" x14ac:dyDescent="0.6">
      <c r="B123" s="37" t="s">
        <v>1603</v>
      </c>
      <c r="C123" s="37" t="s">
        <v>1604</v>
      </c>
      <c r="D123" s="37" t="s">
        <v>1605</v>
      </c>
      <c r="E123" s="37" t="s">
        <v>1606</v>
      </c>
    </row>
    <row r="124" spans="2:5" ht="69.45" x14ac:dyDescent="0.6">
      <c r="B124" s="37" t="s">
        <v>1607</v>
      </c>
      <c r="C124" s="37" t="s">
        <v>1608</v>
      </c>
      <c r="D124" s="37" t="s">
        <v>1609</v>
      </c>
      <c r="E124" s="37" t="s">
        <v>1610</v>
      </c>
    </row>
    <row r="125" spans="2:5" ht="69.45" x14ac:dyDescent="0.6">
      <c r="B125" s="37" t="s">
        <v>1611</v>
      </c>
      <c r="C125" s="37" t="s">
        <v>1612</v>
      </c>
      <c r="D125" s="37" t="s">
        <v>1613</v>
      </c>
      <c r="E125" s="37" t="s">
        <v>1614</v>
      </c>
    </row>
    <row r="126" spans="2:5" ht="69.45" x14ac:dyDescent="0.6">
      <c r="B126" s="37" t="s">
        <v>1615</v>
      </c>
      <c r="C126" s="37" t="s">
        <v>1612</v>
      </c>
      <c r="D126" s="37" t="s">
        <v>1616</v>
      </c>
      <c r="E126" s="37" t="s">
        <v>1617</v>
      </c>
    </row>
    <row r="138" spans="1:5" x14ac:dyDescent="0.6">
      <c r="A138" s="30" t="s">
        <v>176</v>
      </c>
      <c r="B138" s="30" t="s">
        <v>1561</v>
      </c>
      <c r="C138" s="31" t="s">
        <v>132</v>
      </c>
      <c r="D138" s="31">
        <v>500</v>
      </c>
    </row>
    <row r="139" spans="1:5" x14ac:dyDescent="0.6">
      <c r="C139" s="31" t="s">
        <v>1366</v>
      </c>
      <c r="D139" s="31">
        <v>14.7</v>
      </c>
      <c r="E139" s="30" t="s">
        <v>1618</v>
      </c>
    </row>
    <row r="140" spans="1:5" x14ac:dyDescent="0.6">
      <c r="C140" s="31" t="s">
        <v>1368</v>
      </c>
      <c r="D140" s="31">
        <v>2.9</v>
      </c>
      <c r="E140" s="30" t="s">
        <v>1618</v>
      </c>
    </row>
    <row r="141" spans="1:5" x14ac:dyDescent="0.6">
      <c r="C141" s="175" t="s">
        <v>573</v>
      </c>
      <c r="D141" s="61">
        <v>0.1</v>
      </c>
    </row>
    <row r="142" spans="1:5" x14ac:dyDescent="0.6">
      <c r="C142" s="31" t="s">
        <v>1562</v>
      </c>
      <c r="D142" s="61">
        <v>0.9</v>
      </c>
    </row>
    <row r="144" spans="1:5" x14ac:dyDescent="0.6">
      <c r="A144" s="30" t="s">
        <v>178</v>
      </c>
      <c r="B144" s="30" t="s">
        <v>1563</v>
      </c>
    </row>
    <row r="145" spans="1:6" x14ac:dyDescent="0.6">
      <c r="A145" s="30" t="s">
        <v>487</v>
      </c>
      <c r="B145" s="30" t="s">
        <v>1564</v>
      </c>
      <c r="C145"/>
      <c r="D145"/>
      <c r="E145"/>
    </row>
    <row r="146" spans="1:6" x14ac:dyDescent="0.6">
      <c r="B146" s="30" t="s">
        <v>1619</v>
      </c>
      <c r="C146"/>
    </row>
    <row r="147" spans="1:6" x14ac:dyDescent="0.6">
      <c r="B147" s="30" t="s">
        <v>1620</v>
      </c>
      <c r="F147" s="32">
        <f>NORMSINV(10%)</f>
        <v>-1.2815515655446006</v>
      </c>
    </row>
    <row r="158" spans="1:6" x14ac:dyDescent="0.6">
      <c r="D158" s="189">
        <v>-10.023999999999999</v>
      </c>
    </row>
    <row r="159" spans="1:6" x14ac:dyDescent="0.6">
      <c r="E159" s="113">
        <v>-1.281552</v>
      </c>
    </row>
    <row r="161" spans="1:7" x14ac:dyDescent="0.6">
      <c r="A161" s="30" t="s">
        <v>1468</v>
      </c>
      <c r="B161" s="30" t="s">
        <v>1567</v>
      </c>
      <c r="G161" s="190"/>
    </row>
    <row r="163" spans="1:7" x14ac:dyDescent="0.6">
      <c r="A163" s="30" t="s">
        <v>1568</v>
      </c>
      <c r="B163" s="30" t="s">
        <v>1621</v>
      </c>
    </row>
    <row r="164" spans="1:7" x14ac:dyDescent="0.6">
      <c r="B164" s="30" t="s">
        <v>1622</v>
      </c>
    </row>
    <row r="166" spans="1:7" x14ac:dyDescent="0.6">
      <c r="B166" s="30" t="s">
        <v>1571</v>
      </c>
    </row>
    <row r="169" spans="1:7" x14ac:dyDescent="0.6">
      <c r="A169" s="30" t="s">
        <v>67</v>
      </c>
      <c r="B169" s="30" t="s">
        <v>1623</v>
      </c>
    </row>
    <row r="170" spans="1:7" x14ac:dyDescent="0.6">
      <c r="B170" s="30" t="s">
        <v>1624</v>
      </c>
    </row>
    <row r="171" spans="1:7" x14ac:dyDescent="0.6">
      <c r="A171" s="30" t="s">
        <v>1625</v>
      </c>
      <c r="B171" s="30" t="s">
        <v>1626</v>
      </c>
    </row>
    <row r="173" spans="1:7" x14ac:dyDescent="0.6">
      <c r="A173" s="30" t="s">
        <v>173</v>
      </c>
      <c r="B173" s="30" t="s">
        <v>1627</v>
      </c>
    </row>
    <row r="174" spans="1:7" x14ac:dyDescent="0.6">
      <c r="B174" s="181" t="s">
        <v>1628</v>
      </c>
    </row>
    <row r="175" spans="1:7" x14ac:dyDescent="0.6">
      <c r="B175" s="30" t="s">
        <v>1629</v>
      </c>
    </row>
    <row r="176" spans="1:7" x14ac:dyDescent="0.6">
      <c r="B176" s="181" t="s">
        <v>1630</v>
      </c>
    </row>
    <row r="178" spans="1:5" x14ac:dyDescent="0.6">
      <c r="A178" s="30" t="s">
        <v>176</v>
      </c>
      <c r="B178" s="30" t="s">
        <v>1449</v>
      </c>
    </row>
    <row r="179" spans="1:5" x14ac:dyDescent="0.6">
      <c r="B179" s="31" t="s">
        <v>132</v>
      </c>
      <c r="C179" s="31">
        <v>27</v>
      </c>
    </row>
    <row r="180" spans="1:5" x14ac:dyDescent="0.6">
      <c r="B180" s="32" t="s">
        <v>991</v>
      </c>
      <c r="C180" s="136">
        <f>8/27</f>
        <v>0.29629629629629628</v>
      </c>
    </row>
    <row r="181" spans="1:5" x14ac:dyDescent="0.6">
      <c r="B181" s="175" t="s">
        <v>573</v>
      </c>
      <c r="C181" s="61">
        <v>0.01</v>
      </c>
    </row>
    <row r="182" spans="1:5" x14ac:dyDescent="0.6">
      <c r="B182" s="175" t="s">
        <v>1453</v>
      </c>
      <c r="C182" s="61">
        <f>1-C181</f>
        <v>0.99</v>
      </c>
    </row>
    <row r="184" spans="1:5" x14ac:dyDescent="0.6">
      <c r="A184" s="30" t="s">
        <v>178</v>
      </c>
      <c r="B184" s="30" t="s">
        <v>1631</v>
      </c>
    </row>
    <row r="186" spans="1:5" x14ac:dyDescent="0.6">
      <c r="A186" s="30" t="s">
        <v>487</v>
      </c>
      <c r="B186" s="30" t="s">
        <v>1632</v>
      </c>
    </row>
    <row r="187" spans="1:5" x14ac:dyDescent="0.6">
      <c r="B187" s="30" t="s">
        <v>1633</v>
      </c>
    </row>
    <row r="188" spans="1:5" x14ac:dyDescent="0.6">
      <c r="B188" s="30" t="s">
        <v>1634</v>
      </c>
      <c r="E188" s="160">
        <f>_xlfn.T.INV(1%,26)</f>
        <v>-2.4786298235912425</v>
      </c>
    </row>
    <row r="189" spans="1:5" x14ac:dyDescent="0.6">
      <c r="A189" s="30" t="s">
        <v>1468</v>
      </c>
      <c r="B189" s="30" t="s">
        <v>1635</v>
      </c>
      <c r="C189"/>
    </row>
    <row r="193" spans="1:6" x14ac:dyDescent="0.6">
      <c r="C193"/>
    </row>
    <row r="198" spans="1:6" x14ac:dyDescent="0.6">
      <c r="B198" s="191">
        <v>0.01</v>
      </c>
      <c r="E198" s="189">
        <v>-2.4790000000000001</v>
      </c>
      <c r="F198" s="113">
        <v>-1.18</v>
      </c>
    </row>
    <row r="200" spans="1:6" x14ac:dyDescent="0.6">
      <c r="A200" s="30" t="s">
        <v>1568</v>
      </c>
      <c r="B200" s="30" t="s">
        <v>1636</v>
      </c>
    </row>
    <row r="201" spans="1:6" x14ac:dyDescent="0.6">
      <c r="B201" s="30" t="s">
        <v>1637</v>
      </c>
    </row>
    <row r="202" spans="1:6" x14ac:dyDescent="0.6">
      <c r="B202" s="30" t="s">
        <v>1638</v>
      </c>
    </row>
    <row r="204" spans="1:6" ht="46.3" x14ac:dyDescent="0.6">
      <c r="B204" s="37" t="s">
        <v>1639</v>
      </c>
      <c r="C204" s="37" t="s">
        <v>1593</v>
      </c>
    </row>
    <row r="205" spans="1:6" x14ac:dyDescent="0.6">
      <c r="B205" s="37">
        <f>((8/27)-40%)/0.0878</f>
        <v>-1.1811355774909309</v>
      </c>
      <c r="C205" s="149">
        <f>_xlfn.T.DIST(B205,26,1)</f>
        <v>0.1241204264243347</v>
      </c>
      <c r="D205" s="30" t="s">
        <v>1640</v>
      </c>
    </row>
    <row r="206" spans="1:6" x14ac:dyDescent="0.6">
      <c r="B206" s="30" t="s">
        <v>1641</v>
      </c>
    </row>
    <row r="208" spans="1:6" x14ac:dyDescent="0.6">
      <c r="A208" s="30" t="s">
        <v>286</v>
      </c>
      <c r="B208" s="30" t="s">
        <v>1642</v>
      </c>
    </row>
    <row r="209" spans="1:5" x14ac:dyDescent="0.6">
      <c r="B209" s="37" t="s">
        <v>1643</v>
      </c>
      <c r="C209" s="37" t="s">
        <v>1644</v>
      </c>
    </row>
    <row r="210" spans="1:5" x14ac:dyDescent="0.6">
      <c r="B210" s="37" t="s">
        <v>991</v>
      </c>
      <c r="C210" s="60">
        <v>0.12</v>
      </c>
    </row>
    <row r="211" spans="1:5" x14ac:dyDescent="0.6">
      <c r="B211" s="192" t="s">
        <v>573</v>
      </c>
      <c r="C211" s="60">
        <v>0.05</v>
      </c>
    </row>
    <row r="212" spans="1:5" x14ac:dyDescent="0.6">
      <c r="B212" s="192" t="s">
        <v>132</v>
      </c>
      <c r="C212" s="37">
        <v>150</v>
      </c>
    </row>
    <row r="213" spans="1:5" x14ac:dyDescent="0.6">
      <c r="A213" s="30" t="s">
        <v>1625</v>
      </c>
      <c r="B213" s="30" t="s">
        <v>1645</v>
      </c>
    </row>
    <row r="215" spans="1:5" x14ac:dyDescent="0.6">
      <c r="A215" s="30" t="s">
        <v>178</v>
      </c>
      <c r="B215" s="30" t="s">
        <v>1646</v>
      </c>
    </row>
    <row r="216" spans="1:5" x14ac:dyDescent="0.6">
      <c r="A216" s="30" t="s">
        <v>487</v>
      </c>
      <c r="B216" s="30" t="s">
        <v>1564</v>
      </c>
      <c r="C216"/>
      <c r="D216"/>
      <c r="E216"/>
    </row>
    <row r="217" spans="1:5" x14ac:dyDescent="0.6">
      <c r="B217" s="30" t="s">
        <v>1647</v>
      </c>
    </row>
    <row r="218" spans="1:5" x14ac:dyDescent="0.6">
      <c r="B218" s="30" t="s">
        <v>1648</v>
      </c>
      <c r="C218"/>
      <c r="E218" s="32">
        <f>NORMSINV(95%)</f>
        <v>1.6448536269514715</v>
      </c>
    </row>
    <row r="219" spans="1:5" x14ac:dyDescent="0.6">
      <c r="A219" s="30" t="s">
        <v>1468</v>
      </c>
      <c r="B219" s="30" t="s">
        <v>1649</v>
      </c>
    </row>
    <row r="231" spans="1:5" x14ac:dyDescent="0.6">
      <c r="E231" s="113">
        <v>0.75380000000000003</v>
      </c>
    </row>
    <row r="232" spans="1:5" x14ac:dyDescent="0.6">
      <c r="A232" s="30" t="s">
        <v>1568</v>
      </c>
      <c r="B232" s="30" t="s">
        <v>1650</v>
      </c>
    </row>
    <row r="233" spans="1:5" x14ac:dyDescent="0.6">
      <c r="B233" s="30" t="s">
        <v>1651</v>
      </c>
    </row>
    <row r="234" spans="1:5" x14ac:dyDescent="0.6">
      <c r="B234" s="30" t="s">
        <v>1652</v>
      </c>
    </row>
    <row r="236" spans="1:5" ht="46.3" x14ac:dyDescent="0.6">
      <c r="B236" s="37" t="s">
        <v>1592</v>
      </c>
      <c r="C236" s="37" t="s">
        <v>1593</v>
      </c>
    </row>
    <row r="237" spans="1:5" x14ac:dyDescent="0.6">
      <c r="B237" s="37">
        <v>0.75380000000000003</v>
      </c>
      <c r="C237" s="149">
        <f>1-NORMSDIST(0.7538)</f>
        <v>0.22548466199396833</v>
      </c>
      <c r="D237" s="30" t="s">
        <v>1653</v>
      </c>
    </row>
    <row r="238" spans="1:5" x14ac:dyDescent="0.6">
      <c r="B238" s="30" t="s">
        <v>1654</v>
      </c>
    </row>
    <row r="240" spans="1:5" x14ac:dyDescent="0.6">
      <c r="A240" s="30" t="s">
        <v>298</v>
      </c>
      <c r="B240" s="30" t="s">
        <v>1655</v>
      </c>
    </row>
    <row r="241" spans="1:6" x14ac:dyDescent="0.6">
      <c r="B241" s="37" t="s">
        <v>1656</v>
      </c>
      <c r="C241" s="37">
        <v>35</v>
      </c>
    </row>
    <row r="242" spans="1:6" x14ac:dyDescent="0.6">
      <c r="B242" s="37" t="s">
        <v>1366</v>
      </c>
      <c r="C242" s="37">
        <v>33.6</v>
      </c>
    </row>
    <row r="243" spans="1:6" x14ac:dyDescent="0.6">
      <c r="B243" s="37" t="s">
        <v>1452</v>
      </c>
      <c r="C243" s="37">
        <v>3.9</v>
      </c>
    </row>
    <row r="244" spans="1:6" x14ac:dyDescent="0.6">
      <c r="B244" s="192" t="s">
        <v>573</v>
      </c>
      <c r="C244" s="60">
        <v>0.05</v>
      </c>
    </row>
    <row r="245" spans="1:6" x14ac:dyDescent="0.6">
      <c r="B245" s="192" t="s">
        <v>132</v>
      </c>
      <c r="C245" s="37">
        <v>22</v>
      </c>
    </row>
    <row r="246" spans="1:6" x14ac:dyDescent="0.6">
      <c r="A246" s="30" t="s">
        <v>1657</v>
      </c>
      <c r="B246" s="30" t="s">
        <v>1658</v>
      </c>
    </row>
    <row r="248" spans="1:6" x14ac:dyDescent="0.6">
      <c r="A248" s="30" t="s">
        <v>178</v>
      </c>
      <c r="B248" s="30" t="s">
        <v>1659</v>
      </c>
      <c r="C248"/>
      <c r="F248" s="160">
        <f>C243/SQRT(C245)</f>
        <v>0.83148279378688061</v>
      </c>
    </row>
    <row r="249" spans="1:6" x14ac:dyDescent="0.6">
      <c r="A249" s="30" t="s">
        <v>487</v>
      </c>
      <c r="B249" s="30" t="s">
        <v>1632</v>
      </c>
      <c r="E249"/>
    </row>
    <row r="250" spans="1:6" x14ac:dyDescent="0.6">
      <c r="B250" s="30" t="s">
        <v>1660</v>
      </c>
      <c r="E250"/>
    </row>
    <row r="251" spans="1:6" x14ac:dyDescent="0.6">
      <c r="B251" s="30" t="s">
        <v>1661</v>
      </c>
      <c r="E251" s="32">
        <f>_xlfn.T.INV(5%,21)</f>
        <v>-1.7207429028118781</v>
      </c>
    </row>
    <row r="263" spans="1:4" x14ac:dyDescent="0.6">
      <c r="D263" s="113">
        <v>-1.6830000000000001</v>
      </c>
    </row>
    <row r="264" spans="1:4" x14ac:dyDescent="0.6">
      <c r="A264" s="30" t="s">
        <v>1468</v>
      </c>
      <c r="B264" s="30" t="s">
        <v>1662</v>
      </c>
    </row>
    <row r="266" spans="1:4" x14ac:dyDescent="0.6">
      <c r="A266" s="30" t="s">
        <v>1568</v>
      </c>
      <c r="B266" s="30" t="s">
        <v>1663</v>
      </c>
    </row>
    <row r="267" spans="1:4" x14ac:dyDescent="0.6">
      <c r="B267" s="30" t="s">
        <v>1664</v>
      </c>
    </row>
    <row r="269" spans="1:4" ht="46.3" x14ac:dyDescent="0.6">
      <c r="B269" s="37" t="s">
        <v>1639</v>
      </c>
      <c r="C269" s="37" t="s">
        <v>1593</v>
      </c>
    </row>
    <row r="270" spans="1:4" x14ac:dyDescent="0.6">
      <c r="B270" s="37">
        <v>-1.6830000000000001</v>
      </c>
      <c r="C270" s="146">
        <f>_xlfn.T.DIST(-1.683,21,1)</f>
        <v>5.3592395293063116E-2</v>
      </c>
      <c r="D270" s="30" t="s">
        <v>1665</v>
      </c>
    </row>
    <row r="271" spans="1:4" x14ac:dyDescent="0.6">
      <c r="B271" s="30" t="s">
        <v>1666</v>
      </c>
    </row>
    <row r="274" spans="1:5" x14ac:dyDescent="0.6">
      <c r="A274" s="30" t="s">
        <v>703</v>
      </c>
      <c r="B274" s="30" t="s">
        <v>1667</v>
      </c>
    </row>
    <row r="275" spans="1:5" x14ac:dyDescent="0.6">
      <c r="B275" s="30" t="s">
        <v>1668</v>
      </c>
    </row>
    <row r="276" spans="1:5" x14ac:dyDescent="0.6">
      <c r="B276" s="30" t="s">
        <v>1669</v>
      </c>
    </row>
    <row r="278" spans="1:5" x14ac:dyDescent="0.6">
      <c r="A278" s="30" t="s">
        <v>173</v>
      </c>
      <c r="B278" s="30" t="s">
        <v>456</v>
      </c>
    </row>
    <row r="279" spans="1:5" x14ac:dyDescent="0.6">
      <c r="B279" s="30" t="s">
        <v>1670</v>
      </c>
    </row>
    <row r="280" spans="1:5" x14ac:dyDescent="0.6">
      <c r="B280" s="181" t="s">
        <v>1671</v>
      </c>
    </row>
    <row r="281" spans="1:5" x14ac:dyDescent="0.6">
      <c r="B281" s="30" t="s">
        <v>1558</v>
      </c>
    </row>
    <row r="282" spans="1:5" x14ac:dyDescent="0.6">
      <c r="B282" s="30" t="s">
        <v>1672</v>
      </c>
    </row>
    <row r="283" spans="1:5" x14ac:dyDescent="0.6">
      <c r="B283" s="181" t="s">
        <v>1673</v>
      </c>
    </row>
    <row r="285" spans="1:5" x14ac:dyDescent="0.6">
      <c r="A285" s="30" t="s">
        <v>176</v>
      </c>
      <c r="B285" s="30" t="s">
        <v>1561</v>
      </c>
      <c r="C285" s="31" t="s">
        <v>132</v>
      </c>
      <c r="D285" s="31">
        <v>750</v>
      </c>
    </row>
    <row r="286" spans="1:5" x14ac:dyDescent="0.6">
      <c r="C286" s="31" t="s">
        <v>1366</v>
      </c>
      <c r="D286" s="31">
        <v>16.600000000000001</v>
      </c>
      <c r="E286" s="30" t="s">
        <v>1618</v>
      </c>
    </row>
    <row r="287" spans="1:5" x14ac:dyDescent="0.6">
      <c r="C287" s="31" t="s">
        <v>1674</v>
      </c>
      <c r="D287" s="31">
        <v>1.9</v>
      </c>
      <c r="E287" s="30" t="s">
        <v>1618</v>
      </c>
    </row>
    <row r="288" spans="1:5" x14ac:dyDescent="0.6">
      <c r="C288" s="32" t="s">
        <v>1452</v>
      </c>
      <c r="D288" s="32">
        <f>SQRT(D287)</f>
        <v>1.3784048752090221</v>
      </c>
    </row>
    <row r="289" spans="1:7" x14ac:dyDescent="0.6">
      <c r="C289" s="175" t="s">
        <v>573</v>
      </c>
      <c r="D289" s="61">
        <v>0.1</v>
      </c>
    </row>
    <row r="290" spans="1:7" x14ac:dyDescent="0.6">
      <c r="C290" s="31" t="s">
        <v>1562</v>
      </c>
      <c r="D290" s="61">
        <v>0.9</v>
      </c>
    </row>
    <row r="292" spans="1:7" x14ac:dyDescent="0.6">
      <c r="A292" s="30" t="s">
        <v>178</v>
      </c>
      <c r="B292" s="30" t="s">
        <v>1675</v>
      </c>
      <c r="F292" s="32">
        <f>D288/SQRT(D285)</f>
        <v>5.0332229568471658E-2</v>
      </c>
    </row>
    <row r="294" spans="1:7" x14ac:dyDescent="0.6">
      <c r="A294" s="30" t="s">
        <v>487</v>
      </c>
      <c r="B294" s="30" t="s">
        <v>1564</v>
      </c>
      <c r="C294"/>
      <c r="D294"/>
      <c r="E294"/>
      <c r="F294"/>
    </row>
    <row r="295" spans="1:7" x14ac:dyDescent="0.6">
      <c r="B295" s="30" t="s">
        <v>1676</v>
      </c>
      <c r="C295"/>
      <c r="D295"/>
      <c r="E295"/>
      <c r="F295"/>
    </row>
    <row r="296" spans="1:7" x14ac:dyDescent="0.6">
      <c r="B296" s="30" t="s">
        <v>1677</v>
      </c>
      <c r="C296"/>
      <c r="E296" s="32">
        <f>NORMSINV(10%)</f>
        <v>-1.2815515655446006</v>
      </c>
      <c r="F296" s="39"/>
      <c r="G296" s="190"/>
    </row>
    <row r="298" spans="1:7" x14ac:dyDescent="0.6">
      <c r="B298" s="30" t="s">
        <v>1566</v>
      </c>
    </row>
    <row r="299" spans="1:7" x14ac:dyDescent="0.6">
      <c r="A299" s="30" t="s">
        <v>1468</v>
      </c>
      <c r="B299" s="30" t="s">
        <v>1678</v>
      </c>
      <c r="F299" s="32">
        <f>(D286-17)/F292</f>
        <v>-7.9471941423902352</v>
      </c>
    </row>
    <row r="301" spans="1:7" x14ac:dyDescent="0.6">
      <c r="A301" s="30" t="s">
        <v>1568</v>
      </c>
      <c r="B301" s="30" t="s">
        <v>1679</v>
      </c>
    </row>
    <row r="302" spans="1:7" x14ac:dyDescent="0.6">
      <c r="B302" s="30" t="s">
        <v>1622</v>
      </c>
    </row>
    <row r="304" spans="1:7" x14ac:dyDescent="0.6">
      <c r="B304" s="30" t="s">
        <v>1571</v>
      </c>
    </row>
    <row r="306" spans="1:15" ht="46.3" x14ac:dyDescent="0.6">
      <c r="B306" s="37" t="s">
        <v>1592</v>
      </c>
      <c r="C306" s="37" t="s">
        <v>1593</v>
      </c>
    </row>
    <row r="307" spans="1:15" x14ac:dyDescent="0.6">
      <c r="B307" s="37">
        <f>F299</f>
        <v>-7.9471941423902352</v>
      </c>
      <c r="C307" s="193">
        <f>NORMSDIST(B307)</f>
        <v>9.5391650449939751E-16</v>
      </c>
      <c r="D307" s="30" t="s">
        <v>1644</v>
      </c>
    </row>
    <row r="309" spans="1:15" ht="46.3" x14ac:dyDescent="0.6">
      <c r="A309" s="30" t="s">
        <v>703</v>
      </c>
      <c r="B309" s="37" t="s">
        <v>1643</v>
      </c>
      <c r="C309" s="37" t="s">
        <v>1823</v>
      </c>
      <c r="E309" s="192" t="s">
        <v>1824</v>
      </c>
      <c r="F309" s="192">
        <f>SQRT((C310*(1-C310))/C312)</f>
        <v>1.713942822850284E-2</v>
      </c>
      <c r="I309"/>
    </row>
    <row r="310" spans="1:15" ht="92.6" x14ac:dyDescent="0.6">
      <c r="B310" s="37" t="s">
        <v>991</v>
      </c>
      <c r="C310" s="211">
        <v>0.86399999999999999</v>
      </c>
      <c r="E310" s="192" t="s">
        <v>1825</v>
      </c>
      <c r="F310" s="192">
        <f>NORMSINV(99%)</f>
        <v>2.3263478740408408</v>
      </c>
    </row>
    <row r="311" spans="1:15" x14ac:dyDescent="0.6">
      <c r="B311" s="192" t="s">
        <v>573</v>
      </c>
      <c r="C311" s="60">
        <v>0.01</v>
      </c>
      <c r="E311" s="192" t="s">
        <v>1826</v>
      </c>
      <c r="F311" s="192">
        <f>(C310-70%)/F309</f>
        <v>9.5685805741914027</v>
      </c>
    </row>
    <row r="312" spans="1:15" x14ac:dyDescent="0.6">
      <c r="B312" s="192" t="s">
        <v>132</v>
      </c>
      <c r="C312" s="37">
        <v>400</v>
      </c>
      <c r="D312" s="30" t="s">
        <v>1976</v>
      </c>
      <c r="E312" s="192" t="s">
        <v>1827</v>
      </c>
      <c r="F312" s="213">
        <f>1-NORMSDIST(F311)</f>
        <v>0</v>
      </c>
      <c r="G312" s="30" t="s">
        <v>1838</v>
      </c>
    </row>
    <row r="313" spans="1:15" x14ac:dyDescent="0.6">
      <c r="E313" s="102" t="s">
        <v>1828</v>
      </c>
    </row>
    <row r="314" spans="1:15" x14ac:dyDescent="0.6">
      <c r="B314" s="30" t="s">
        <v>1829</v>
      </c>
    </row>
    <row r="315" spans="1:15" x14ac:dyDescent="0.6">
      <c r="B315" s="30" t="s">
        <v>1830</v>
      </c>
      <c r="O315" s="190">
        <v>9.5690000000000008</v>
      </c>
    </row>
    <row r="316" spans="1:15" x14ac:dyDescent="0.6">
      <c r="M316" s="30">
        <v>2.3260000000000001</v>
      </c>
    </row>
    <row r="317" spans="1:15" ht="46.3" x14ac:dyDescent="0.6">
      <c r="A317" s="30" t="s">
        <v>745</v>
      </c>
      <c r="B317" s="37" t="s">
        <v>1831</v>
      </c>
      <c r="C317" s="37">
        <v>20</v>
      </c>
      <c r="E317" s="192" t="s">
        <v>1832</v>
      </c>
      <c r="F317" s="192">
        <f>C319/SQRT(C321)</f>
        <v>0.20820662813657012</v>
      </c>
    </row>
    <row r="318" spans="1:15" ht="46.3" x14ac:dyDescent="0.6">
      <c r="B318" s="37" t="s">
        <v>1366</v>
      </c>
      <c r="C318" s="37">
        <v>20.85</v>
      </c>
      <c r="E318" s="192" t="s">
        <v>1833</v>
      </c>
      <c r="F318" s="192">
        <f>NORMSINV(90%)</f>
        <v>1.2815515655446006</v>
      </c>
    </row>
    <row r="319" spans="1:15" x14ac:dyDescent="0.6">
      <c r="B319" s="37" t="s">
        <v>1452</v>
      </c>
      <c r="C319" s="37">
        <v>2.5499999999999998</v>
      </c>
      <c r="E319" s="192" t="s">
        <v>1826</v>
      </c>
      <c r="F319" s="192">
        <f>(C318-C317)/F317</f>
        <v>4.0824829046386375</v>
      </c>
    </row>
    <row r="320" spans="1:15" x14ac:dyDescent="0.6">
      <c r="B320" s="192" t="s">
        <v>573</v>
      </c>
      <c r="C320" s="60">
        <v>0.1</v>
      </c>
      <c r="E320" s="192" t="s">
        <v>1834</v>
      </c>
      <c r="F320" s="212">
        <f>1-NORMSDIST(F319)</f>
        <v>2.2278545302012454E-5</v>
      </c>
      <c r="G320" s="30" t="s">
        <v>1835</v>
      </c>
    </row>
    <row r="321" spans="2:5" x14ac:dyDescent="0.6">
      <c r="B321" s="192" t="s">
        <v>132</v>
      </c>
      <c r="C321" s="37">
        <v>150</v>
      </c>
      <c r="E321" s="102" t="s">
        <v>1828</v>
      </c>
    </row>
    <row r="323" spans="2:5" x14ac:dyDescent="0.6">
      <c r="B323" s="30" t="s">
        <v>1836</v>
      </c>
    </row>
    <row r="324" spans="2:5" x14ac:dyDescent="0.6">
      <c r="B324" s="30" t="s">
        <v>1837</v>
      </c>
    </row>
    <row r="327" spans="2:5" ht="33.450000000000003" x14ac:dyDescent="0.85">
      <c r="B327" s="29" t="s">
        <v>1680</v>
      </c>
    </row>
    <row r="328" spans="2:5" ht="26.15" x14ac:dyDescent="0.7">
      <c r="B328" s="1" t="s">
        <v>1681</v>
      </c>
      <c r="C328" s="1" t="s">
        <v>1682</v>
      </c>
    </row>
    <row r="329" spans="2:5" ht="26.15" x14ac:dyDescent="0.7">
      <c r="B329" s="1" t="s">
        <v>1683</v>
      </c>
      <c r="C329" s="1" t="s">
        <v>1684</v>
      </c>
    </row>
    <row r="331" spans="2:5" ht="26.15" x14ac:dyDescent="0.7">
      <c r="B331" s="1" t="s">
        <v>1685</v>
      </c>
    </row>
    <row r="332" spans="2:5" ht="26.15" x14ac:dyDescent="0.7">
      <c r="B332" s="1" t="s">
        <v>1686</v>
      </c>
    </row>
    <row r="334" spans="2:5" ht="26.15" x14ac:dyDescent="0.7">
      <c r="B334" s="1" t="s">
        <v>1687</v>
      </c>
    </row>
    <row r="335" spans="2:5" ht="26.15" x14ac:dyDescent="0.7">
      <c r="B335" s="1" t="s">
        <v>1688</v>
      </c>
    </row>
    <row r="337" spans="2:5" ht="46.3" x14ac:dyDescent="0.6">
      <c r="B337" s="37" t="s">
        <v>1434</v>
      </c>
      <c r="C337" s="37" t="s">
        <v>1689</v>
      </c>
      <c r="D337" s="37" t="s">
        <v>1690</v>
      </c>
      <c r="E337" s="37" t="s">
        <v>1691</v>
      </c>
    </row>
    <row r="338" spans="2:5" x14ac:dyDescent="0.6">
      <c r="B338" s="37"/>
      <c r="C338" s="37"/>
      <c r="D338" s="37"/>
      <c r="E338" s="37"/>
    </row>
    <row r="339" spans="2:5" x14ac:dyDescent="0.6">
      <c r="B339" s="37"/>
      <c r="C339" s="37"/>
      <c r="D339" s="37"/>
      <c r="E339" s="37"/>
    </row>
    <row r="341" spans="2:5" ht="33.450000000000003" x14ac:dyDescent="0.85">
      <c r="B341" s="29" t="s">
        <v>1692</v>
      </c>
    </row>
    <row r="343" spans="2:5" x14ac:dyDescent="0.6">
      <c r="B343" s="30" t="s">
        <v>1693</v>
      </c>
    </row>
    <row r="344" spans="2:5" x14ac:dyDescent="0.6">
      <c r="B344" s="30" t="s">
        <v>1694</v>
      </c>
    </row>
    <row r="345" spans="2:5" x14ac:dyDescent="0.6">
      <c r="B345" s="30" t="s">
        <v>1695</v>
      </c>
    </row>
    <row r="346" spans="2:5" x14ac:dyDescent="0.6">
      <c r="B346" s="30" t="s">
        <v>1696</v>
      </c>
    </row>
    <row r="348" spans="2:5" x14ac:dyDescent="0.6">
      <c r="B348" s="30" t="s">
        <v>1697</v>
      </c>
    </row>
    <row r="349" spans="2:5" x14ac:dyDescent="0.6">
      <c r="B349" s="181" t="s">
        <v>1698</v>
      </c>
    </row>
    <row r="350" spans="2:5" x14ac:dyDescent="0.6">
      <c r="B350" s="181" t="s">
        <v>1699</v>
      </c>
    </row>
    <row r="354" spans="1:7" ht="61.3" x14ac:dyDescent="1.55">
      <c r="B354" s="104" t="s">
        <v>1700</v>
      </c>
    </row>
    <row r="356" spans="1:7" ht="30.9" x14ac:dyDescent="0.8">
      <c r="A356" s="2">
        <v>1</v>
      </c>
      <c r="B356" s="2" t="s">
        <v>1540</v>
      </c>
    </row>
    <row r="357" spans="1:7" ht="30.9" x14ac:dyDescent="0.8">
      <c r="A357" s="194" t="s">
        <v>608</v>
      </c>
      <c r="B357" s="2" t="s">
        <v>1701</v>
      </c>
    </row>
    <row r="359" spans="1:7" x14ac:dyDescent="0.6">
      <c r="B359" s="30" t="s">
        <v>1702</v>
      </c>
    </row>
    <row r="360" spans="1:7" x14ac:dyDescent="0.6">
      <c r="B360" s="30" t="s">
        <v>1703</v>
      </c>
    </row>
    <row r="362" spans="1:7" x14ac:dyDescent="0.6">
      <c r="A362" s="30" t="s">
        <v>16</v>
      </c>
      <c r="B362" s="30" t="s">
        <v>1704</v>
      </c>
    </row>
    <row r="363" spans="1:7" ht="46.3" x14ac:dyDescent="0.6">
      <c r="B363" s="125"/>
      <c r="C363" s="125" t="s">
        <v>1705</v>
      </c>
      <c r="D363" s="125" t="s">
        <v>1706</v>
      </c>
      <c r="E363" s="125" t="s">
        <v>1707</v>
      </c>
      <c r="F363" s="125" t="s">
        <v>1708</v>
      </c>
    </row>
    <row r="364" spans="1:7" x14ac:dyDescent="0.6">
      <c r="B364" s="125" t="s">
        <v>1709</v>
      </c>
      <c r="C364" s="125">
        <v>576</v>
      </c>
      <c r="D364" s="125">
        <v>324</v>
      </c>
      <c r="E364" s="125">
        <v>129</v>
      </c>
      <c r="F364" s="125">
        <v>371</v>
      </c>
    </row>
    <row r="365" spans="1:7" x14ac:dyDescent="0.6">
      <c r="B365" s="125" t="s">
        <v>1710</v>
      </c>
      <c r="C365" s="125">
        <v>348</v>
      </c>
      <c r="D365" s="125">
        <v>212</v>
      </c>
      <c r="E365" s="125">
        <v>487</v>
      </c>
      <c r="F365" s="125">
        <v>223</v>
      </c>
    </row>
    <row r="366" spans="1:7" x14ac:dyDescent="0.6">
      <c r="G366" s="30" t="s">
        <v>1711</v>
      </c>
    </row>
    <row r="367" spans="1:7" x14ac:dyDescent="0.6">
      <c r="B367" s="30" t="s">
        <v>1712</v>
      </c>
    </row>
    <row r="369" spans="1:7" x14ac:dyDescent="0.6">
      <c r="A369" s="30" t="s">
        <v>173</v>
      </c>
      <c r="B369" s="30" t="s">
        <v>1713</v>
      </c>
    </row>
    <row r="370" spans="1:7" x14ac:dyDescent="0.6">
      <c r="B370" s="30" t="s">
        <v>1714</v>
      </c>
    </row>
    <row r="372" spans="1:7" x14ac:dyDescent="0.6">
      <c r="A372" s="30" t="s">
        <v>1715</v>
      </c>
      <c r="B372" s="30" t="s">
        <v>1716</v>
      </c>
    </row>
    <row r="373" spans="1:7" ht="46.3" x14ac:dyDescent="0.6">
      <c r="B373" s="37"/>
      <c r="C373" s="37" t="s">
        <v>1705</v>
      </c>
      <c r="D373" s="37" t="s">
        <v>1717</v>
      </c>
      <c r="E373" s="37" t="s">
        <v>1707</v>
      </c>
      <c r="F373" s="37" t="s">
        <v>1708</v>
      </c>
      <c r="G373" s="37" t="s">
        <v>1718</v>
      </c>
    </row>
    <row r="374" spans="1:7" x14ac:dyDescent="0.6">
      <c r="B374" s="37" t="s">
        <v>1709</v>
      </c>
      <c r="C374" s="195">
        <v>576</v>
      </c>
      <c r="D374" s="195">
        <v>324</v>
      </c>
      <c r="E374" s="195">
        <v>129</v>
      </c>
      <c r="F374" s="195">
        <v>371</v>
      </c>
      <c r="G374" s="37">
        <f>SUM(C374:F374)</f>
        <v>1400</v>
      </c>
    </row>
    <row r="375" spans="1:7" x14ac:dyDescent="0.6">
      <c r="B375" s="37" t="s">
        <v>1710</v>
      </c>
      <c r="C375" s="195">
        <v>348</v>
      </c>
      <c r="D375" s="195">
        <v>212</v>
      </c>
      <c r="E375" s="195">
        <v>487</v>
      </c>
      <c r="F375" s="195">
        <v>223</v>
      </c>
      <c r="G375" s="37">
        <f>SUM(C375:F375)</f>
        <v>1270</v>
      </c>
    </row>
    <row r="376" spans="1:7" x14ac:dyDescent="0.6">
      <c r="B376" s="37" t="s">
        <v>1719</v>
      </c>
      <c r="C376" s="37">
        <f>SUM(C374:C375)</f>
        <v>924</v>
      </c>
      <c r="D376" s="37">
        <f t="shared" ref="D376:F376" si="0">SUM(D374:D375)</f>
        <v>536</v>
      </c>
      <c r="E376" s="37">
        <f t="shared" si="0"/>
        <v>616</v>
      </c>
      <c r="F376" s="37">
        <f t="shared" si="0"/>
        <v>594</v>
      </c>
      <c r="G376" s="125">
        <f>SUM(C376:F376)</f>
        <v>2670</v>
      </c>
    </row>
    <row r="378" spans="1:7" x14ac:dyDescent="0.6">
      <c r="A378" s="30" t="s">
        <v>1625</v>
      </c>
      <c r="B378" s="30" t="s">
        <v>1720</v>
      </c>
    </row>
    <row r="379" spans="1:7" x14ac:dyDescent="0.6">
      <c r="B379" s="30" t="s">
        <v>1721</v>
      </c>
    </row>
    <row r="381" spans="1:7" x14ac:dyDescent="0.6">
      <c r="A381" s="30" t="s">
        <v>178</v>
      </c>
      <c r="B381" s="30" t="s">
        <v>1722</v>
      </c>
    </row>
    <row r="382" spans="1:7" ht="46.3" x14ac:dyDescent="0.6">
      <c r="B382" s="31" t="s">
        <v>1723</v>
      </c>
      <c r="C382" s="37" t="s">
        <v>1724</v>
      </c>
      <c r="D382" s="37" t="s">
        <v>1725</v>
      </c>
      <c r="E382" s="37" t="s">
        <v>1726</v>
      </c>
    </row>
    <row r="383" spans="1:7" x14ac:dyDescent="0.6">
      <c r="B383" s="196" t="s">
        <v>1727</v>
      </c>
      <c r="C383" s="37">
        <v>576</v>
      </c>
      <c r="D383" s="197">
        <f>G374*C376/G376</f>
        <v>484.49438202247188</v>
      </c>
      <c r="E383" s="197">
        <f>((C383-D383)^2)/D383</f>
        <v>17.282508182026653</v>
      </c>
    </row>
    <row r="384" spans="1:7" x14ac:dyDescent="0.6">
      <c r="B384" s="196" t="s">
        <v>1728</v>
      </c>
      <c r="C384" s="37">
        <v>324</v>
      </c>
      <c r="D384" s="197">
        <f>G374*D376/G376</f>
        <v>281.04868913857678</v>
      </c>
      <c r="E384" s="197">
        <f t="shared" ref="E384:E390" si="1">((C384-D384)^2)/D384</f>
        <v>6.5640409509435171</v>
      </c>
    </row>
    <row r="385" spans="1:7" x14ac:dyDescent="0.6">
      <c r="B385" s="196" t="s">
        <v>1729</v>
      </c>
      <c r="C385" s="37">
        <v>129</v>
      </c>
      <c r="D385" s="197">
        <f>G374*E376/G376</f>
        <v>322.99625468164794</v>
      </c>
      <c r="E385" s="197">
        <f t="shared" si="1"/>
        <v>116.51697592469063</v>
      </c>
    </row>
    <row r="386" spans="1:7" x14ac:dyDescent="0.6">
      <c r="B386" s="196" t="s">
        <v>1730</v>
      </c>
      <c r="C386" s="37">
        <v>371</v>
      </c>
      <c r="D386" s="197">
        <f>G374*F376/G376</f>
        <v>311.46067415730334</v>
      </c>
      <c r="E386" s="197">
        <f t="shared" si="1"/>
        <v>11.381633753262978</v>
      </c>
    </row>
    <row r="387" spans="1:7" x14ac:dyDescent="0.6">
      <c r="B387" s="196" t="s">
        <v>1731</v>
      </c>
      <c r="C387" s="37">
        <v>348</v>
      </c>
      <c r="D387" s="197">
        <f>G375*C376/G376</f>
        <v>439.50561797752812</v>
      </c>
      <c r="E387" s="197">
        <f t="shared" si="1"/>
        <v>19.051583822706544</v>
      </c>
    </row>
    <row r="388" spans="1:7" x14ac:dyDescent="0.6">
      <c r="B388" s="196" t="s">
        <v>1732</v>
      </c>
      <c r="C388" s="37">
        <v>212</v>
      </c>
      <c r="D388" s="197">
        <f>G375*D376/G376</f>
        <v>254.95131086142322</v>
      </c>
      <c r="E388" s="197">
        <f t="shared" si="1"/>
        <v>7.2359506545834051</v>
      </c>
    </row>
    <row r="389" spans="1:7" x14ac:dyDescent="0.6">
      <c r="B389" s="196" t="s">
        <v>1733</v>
      </c>
      <c r="C389" s="37">
        <v>487</v>
      </c>
      <c r="D389" s="197">
        <f>G375*E376/G376</f>
        <v>293.00374531835206</v>
      </c>
      <c r="E389" s="197">
        <f t="shared" si="1"/>
        <v>128.4439104681629</v>
      </c>
    </row>
    <row r="390" spans="1:7" x14ac:dyDescent="0.6">
      <c r="B390" s="196" t="s">
        <v>1734</v>
      </c>
      <c r="C390" s="37">
        <v>223</v>
      </c>
      <c r="D390" s="197">
        <f>G375*F376/G376</f>
        <v>282.53932584269666</v>
      </c>
      <c r="E390" s="197">
        <f t="shared" si="1"/>
        <v>12.54668287761273</v>
      </c>
    </row>
    <row r="391" spans="1:7" x14ac:dyDescent="0.6">
      <c r="B391" s="69" t="s">
        <v>363</v>
      </c>
      <c r="C391" s="125">
        <f>SUM(C383:C390)</f>
        <v>2670</v>
      </c>
      <c r="D391" s="125">
        <f>SUM(D383:D390)</f>
        <v>2670</v>
      </c>
      <c r="E391" s="125">
        <f>SUM(E383:E390)</f>
        <v>319.02328663398936</v>
      </c>
    </row>
    <row r="393" spans="1:7" x14ac:dyDescent="0.6">
      <c r="B393" s="30" t="s">
        <v>1735</v>
      </c>
    </row>
    <row r="395" spans="1:7" x14ac:dyDescent="0.6">
      <c r="A395" s="30" t="s">
        <v>487</v>
      </c>
      <c r="B395" s="30" t="s">
        <v>1736</v>
      </c>
    </row>
    <row r="396" spans="1:7" x14ac:dyDescent="0.6">
      <c r="B396" s="30" t="s">
        <v>1737</v>
      </c>
    </row>
    <row r="398" spans="1:7" x14ac:dyDescent="0.6">
      <c r="B398" s="30" t="s">
        <v>1738</v>
      </c>
      <c r="E398" s="125">
        <v>7.8150000000000004</v>
      </c>
      <c r="F398" s="198">
        <f>CHIINV(5%,3)</f>
        <v>7.8147279032511792</v>
      </c>
      <c r="G398" s="198">
        <f>_xlfn.CHISQ.INV(95%,3)</f>
        <v>7.8147279032511774</v>
      </c>
    </row>
    <row r="399" spans="1:7" x14ac:dyDescent="0.6">
      <c r="E399" s="199" t="s">
        <v>1739</v>
      </c>
      <c r="F399" s="30" t="s">
        <v>1740</v>
      </c>
      <c r="G399" s="30" t="s">
        <v>1741</v>
      </c>
    </row>
    <row r="410" spans="1:5" x14ac:dyDescent="0.6">
      <c r="D410" s="30">
        <v>7.8150000000000004</v>
      </c>
      <c r="E410" s="39">
        <v>319.02</v>
      </c>
    </row>
    <row r="412" spans="1:5" x14ac:dyDescent="0.6">
      <c r="A412" s="30" t="s">
        <v>1468</v>
      </c>
      <c r="B412" s="30" t="s">
        <v>1742</v>
      </c>
    </row>
    <row r="413" spans="1:5" x14ac:dyDescent="0.6">
      <c r="B413" s="30" t="s">
        <v>1743</v>
      </c>
    </row>
    <row r="414" spans="1:5" x14ac:dyDescent="0.6">
      <c r="B414" s="30" t="s">
        <v>1744</v>
      </c>
    </row>
    <row r="416" spans="1:5" x14ac:dyDescent="0.6">
      <c r="B416" s="30" t="s">
        <v>1745</v>
      </c>
    </row>
    <row r="417" spans="1:5" x14ac:dyDescent="0.6">
      <c r="B417" s="30" t="s">
        <v>1746</v>
      </c>
      <c r="D417" s="32">
        <f>CHIDIST(E391,3)</f>
        <v>7.5889159656159003E-69</v>
      </c>
      <c r="E417" s="32">
        <f>_xlfn.CHISQ.DIST.RT(E391,3)</f>
        <v>7.5889159656159003E-69</v>
      </c>
    </row>
    <row r="418" spans="1:5" x14ac:dyDescent="0.6">
      <c r="D418" s="39" t="s">
        <v>1747</v>
      </c>
      <c r="E418" s="39" t="s">
        <v>1839</v>
      </c>
    </row>
    <row r="419" spans="1:5" x14ac:dyDescent="0.6">
      <c r="B419" s="30" t="s">
        <v>1748</v>
      </c>
    </row>
    <row r="422" spans="1:5" x14ac:dyDescent="0.6">
      <c r="A422" s="30" t="s">
        <v>67</v>
      </c>
      <c r="B422" s="30" t="s">
        <v>1749</v>
      </c>
    </row>
    <row r="423" spans="1:5" x14ac:dyDescent="0.6">
      <c r="B423" s="30" t="s">
        <v>1750</v>
      </c>
    </row>
    <row r="424" spans="1:5" x14ac:dyDescent="0.6">
      <c r="B424" s="30" t="s">
        <v>1751</v>
      </c>
    </row>
    <row r="425" spans="1:5" x14ac:dyDescent="0.6">
      <c r="B425" s="200" t="s">
        <v>1752</v>
      </c>
      <c r="C425" s="239" t="s">
        <v>1753</v>
      </c>
      <c r="D425" s="239"/>
      <c r="E425" s="239"/>
    </row>
    <row r="426" spans="1:5" ht="59.15" x14ac:dyDescent="0.6">
      <c r="B426" s="201" t="s">
        <v>1754</v>
      </c>
      <c r="C426" s="201" t="s">
        <v>1755</v>
      </c>
      <c r="D426" s="201" t="s">
        <v>1756</v>
      </c>
      <c r="E426" s="201" t="s">
        <v>1757</v>
      </c>
    </row>
    <row r="427" spans="1:5" x14ac:dyDescent="0.6">
      <c r="B427" s="202" t="s">
        <v>1758</v>
      </c>
      <c r="C427" s="202">
        <v>11</v>
      </c>
      <c r="D427" s="202">
        <v>23</v>
      </c>
      <c r="E427" s="202">
        <v>26</v>
      </c>
    </row>
    <row r="428" spans="1:5" x14ac:dyDescent="0.6">
      <c r="B428" s="202" t="s">
        <v>56</v>
      </c>
      <c r="C428" s="202">
        <v>34</v>
      </c>
      <c r="D428" s="202">
        <v>27</v>
      </c>
      <c r="E428" s="202">
        <v>19</v>
      </c>
    </row>
    <row r="430" spans="1:5" x14ac:dyDescent="0.6">
      <c r="B430" s="30" t="s">
        <v>1759</v>
      </c>
    </row>
    <row r="431" spans="1:5" x14ac:dyDescent="0.6">
      <c r="B431" s="30" t="s">
        <v>1760</v>
      </c>
    </row>
    <row r="433" spans="1:6" x14ac:dyDescent="0.6">
      <c r="A433" s="30" t="s">
        <v>173</v>
      </c>
      <c r="B433" s="30" t="s">
        <v>1761</v>
      </c>
    </row>
    <row r="434" spans="1:6" x14ac:dyDescent="0.6">
      <c r="B434" s="30" t="s">
        <v>1762</v>
      </c>
    </row>
    <row r="435" spans="1:6" x14ac:dyDescent="0.6">
      <c r="B435" s="30" t="s">
        <v>1763</v>
      </c>
    </row>
    <row r="436" spans="1:6" x14ac:dyDescent="0.6">
      <c r="B436" s="30" t="s">
        <v>1764</v>
      </c>
    </row>
    <row r="438" spans="1:6" x14ac:dyDescent="0.6">
      <c r="A438" s="30" t="s">
        <v>1715</v>
      </c>
      <c r="B438" s="30" t="s">
        <v>1716</v>
      </c>
    </row>
    <row r="439" spans="1:6" x14ac:dyDescent="0.6">
      <c r="B439" s="200" t="s">
        <v>1752</v>
      </c>
      <c r="C439" s="239" t="s">
        <v>1753</v>
      </c>
      <c r="D439" s="239"/>
      <c r="E439" s="239"/>
    </row>
    <row r="440" spans="1:6" ht="61.75" x14ac:dyDescent="0.6">
      <c r="B440" s="203" t="s">
        <v>1754</v>
      </c>
      <c r="C440" s="203" t="s">
        <v>1755</v>
      </c>
      <c r="D440" s="203" t="s">
        <v>1756</v>
      </c>
      <c r="E440" s="203" t="s">
        <v>1757</v>
      </c>
      <c r="F440" s="203" t="s">
        <v>1718</v>
      </c>
    </row>
    <row r="441" spans="1:6" x14ac:dyDescent="0.6">
      <c r="B441" s="203" t="s">
        <v>1758</v>
      </c>
      <c r="C441" s="204">
        <v>11</v>
      </c>
      <c r="D441" s="204">
        <v>23</v>
      </c>
      <c r="E441" s="204">
        <v>26</v>
      </c>
      <c r="F441" s="205">
        <f>SUM(C441:E441)</f>
        <v>60</v>
      </c>
    </row>
    <row r="442" spans="1:6" x14ac:dyDescent="0.6">
      <c r="B442" s="203" t="s">
        <v>56</v>
      </c>
      <c r="C442" s="204">
        <v>34</v>
      </c>
      <c r="D442" s="204">
        <v>27</v>
      </c>
      <c r="E442" s="204">
        <v>19</v>
      </c>
      <c r="F442" s="205">
        <f t="shared" ref="F442:F443" si="2">SUM(C442:E442)</f>
        <v>80</v>
      </c>
    </row>
    <row r="443" spans="1:6" x14ac:dyDescent="0.6">
      <c r="B443" s="201" t="s">
        <v>710</v>
      </c>
      <c r="C443" s="205">
        <f t="shared" ref="C443:E443" si="3">SUM(C441:C442)</f>
        <v>45</v>
      </c>
      <c r="D443" s="205">
        <f t="shared" si="3"/>
        <v>50</v>
      </c>
      <c r="E443" s="205">
        <f t="shared" si="3"/>
        <v>45</v>
      </c>
      <c r="F443" s="206">
        <f t="shared" si="2"/>
        <v>140</v>
      </c>
    </row>
    <row r="445" spans="1:6" x14ac:dyDescent="0.6">
      <c r="A445" s="30" t="s">
        <v>178</v>
      </c>
      <c r="B445" s="30" t="s">
        <v>1765</v>
      </c>
    </row>
    <row r="446" spans="1:6" ht="46.3" x14ac:dyDescent="0.6">
      <c r="B446" s="31" t="s">
        <v>1723</v>
      </c>
      <c r="C446" s="37" t="s">
        <v>1724</v>
      </c>
      <c r="D446" s="37" t="s">
        <v>1725</v>
      </c>
      <c r="E446" s="37" t="s">
        <v>1726</v>
      </c>
    </row>
    <row r="447" spans="1:6" x14ac:dyDescent="0.6">
      <c r="B447" s="196" t="s">
        <v>1727</v>
      </c>
      <c r="C447" s="205">
        <v>11</v>
      </c>
      <c r="D447" s="197">
        <f>F441*C443/F443</f>
        <v>19.285714285714285</v>
      </c>
      <c r="E447" s="197">
        <f>((C447-D447)^2)/D447</f>
        <v>3.5597883597883588</v>
      </c>
    </row>
    <row r="448" spans="1:6" x14ac:dyDescent="0.6">
      <c r="B448" s="196" t="s">
        <v>1728</v>
      </c>
      <c r="C448" s="205">
        <v>23</v>
      </c>
      <c r="D448" s="197">
        <f>F441*D443/F443</f>
        <v>21.428571428571427</v>
      </c>
      <c r="E448" s="197">
        <f t="shared" ref="E448:E452" si="4">((C448-D448)^2)/D448</f>
        <v>0.11523809523809547</v>
      </c>
    </row>
    <row r="449" spans="1:7" x14ac:dyDescent="0.6">
      <c r="B449" s="196" t="s">
        <v>1729</v>
      </c>
      <c r="C449" s="205">
        <v>26</v>
      </c>
      <c r="D449" s="197">
        <f>F441*E443/F443</f>
        <v>19.285714285714285</v>
      </c>
      <c r="E449" s="197">
        <f t="shared" si="4"/>
        <v>2.3375661375661387</v>
      </c>
    </row>
    <row r="450" spans="1:7" x14ac:dyDescent="0.6">
      <c r="B450" s="196" t="s">
        <v>1731</v>
      </c>
      <c r="C450" s="205">
        <v>34</v>
      </c>
      <c r="D450" s="197">
        <f>F442*C443/F443</f>
        <v>25.714285714285715</v>
      </c>
      <c r="E450" s="197">
        <f t="shared" si="4"/>
        <v>2.6698412698412688</v>
      </c>
    </row>
    <row r="451" spans="1:7" x14ac:dyDescent="0.6">
      <c r="B451" s="196" t="s">
        <v>1732</v>
      </c>
      <c r="C451" s="205">
        <v>27</v>
      </c>
      <c r="D451" s="197">
        <f>F442*D443/F443</f>
        <v>28.571428571428573</v>
      </c>
      <c r="E451" s="197">
        <f t="shared" si="4"/>
        <v>8.6428571428571591E-2</v>
      </c>
    </row>
    <row r="452" spans="1:7" x14ac:dyDescent="0.6">
      <c r="B452" s="196" t="s">
        <v>1733</v>
      </c>
      <c r="C452" s="205">
        <v>19</v>
      </c>
      <c r="D452" s="197">
        <f>F442*E443/F443</f>
        <v>25.714285714285715</v>
      </c>
      <c r="E452" s="197">
        <f t="shared" si="4"/>
        <v>1.7531746031746038</v>
      </c>
    </row>
    <row r="453" spans="1:7" x14ac:dyDescent="0.6">
      <c r="B453" s="206" t="s">
        <v>363</v>
      </c>
      <c r="C453" s="206">
        <f>SUM(C447:C452)</f>
        <v>140</v>
      </c>
      <c r="D453" s="206">
        <f t="shared" ref="D453:E453" si="5">SUM(D447:D452)</f>
        <v>140</v>
      </c>
      <c r="E453" s="198">
        <f t="shared" si="5"/>
        <v>10.522037037037038</v>
      </c>
    </row>
    <row r="455" spans="1:7" x14ac:dyDescent="0.6">
      <c r="B455" s="30" t="s">
        <v>1766</v>
      </c>
    </row>
    <row r="457" spans="1:7" x14ac:dyDescent="0.6">
      <c r="A457" s="30" t="s">
        <v>487</v>
      </c>
      <c r="B457" s="30" t="s">
        <v>1767</v>
      </c>
      <c r="F457"/>
      <c r="G457" s="125">
        <f>CHIINV(5%,2)</f>
        <v>5.9914645471079817</v>
      </c>
    </row>
    <row r="458" spans="1:7" x14ac:dyDescent="0.6">
      <c r="B458" s="30" t="s">
        <v>1768</v>
      </c>
      <c r="F458"/>
      <c r="G458"/>
    </row>
    <row r="460" spans="1:7" x14ac:dyDescent="0.6">
      <c r="A460" s="30" t="s">
        <v>1468</v>
      </c>
      <c r="B460" s="30" t="s">
        <v>1769</v>
      </c>
    </row>
    <row r="461" spans="1:7" x14ac:dyDescent="0.6">
      <c r="B461" s="30" t="s">
        <v>1743</v>
      </c>
    </row>
    <row r="462" spans="1:7" x14ac:dyDescent="0.6">
      <c r="B462" s="30" t="s">
        <v>1770</v>
      </c>
    </row>
    <row r="464" spans="1:7" x14ac:dyDescent="0.6">
      <c r="B464" s="30" t="s">
        <v>1746</v>
      </c>
      <c r="D464" s="207">
        <f>_xlfn.CHISQ.DIST.RT(E453,2)</f>
        <v>5.1900158984777619E-3</v>
      </c>
      <c r="E464" s="30" t="s">
        <v>538</v>
      </c>
    </row>
    <row r="465" spans="1:5" x14ac:dyDescent="0.6">
      <c r="B465" s="30" t="s">
        <v>1771</v>
      </c>
    </row>
    <row r="467" spans="1:5" x14ac:dyDescent="0.6">
      <c r="B467" s="30" t="s">
        <v>1772</v>
      </c>
    </row>
    <row r="469" spans="1:5" x14ac:dyDescent="0.6">
      <c r="B469" s="208" t="s">
        <v>1773</v>
      </c>
    </row>
    <row r="470" spans="1:5" x14ac:dyDescent="0.6">
      <c r="A470" s="30" t="s">
        <v>286</v>
      </c>
      <c r="B470" s="36"/>
      <c r="C470" s="31" t="s">
        <v>1774</v>
      </c>
      <c r="D470" s="31" t="s">
        <v>1775</v>
      </c>
      <c r="E470" s="31" t="s">
        <v>1776</v>
      </c>
    </row>
    <row r="471" spans="1:5" x14ac:dyDescent="0.6">
      <c r="B471" s="36" t="s">
        <v>1777</v>
      </c>
      <c r="C471" s="31">
        <v>75</v>
      </c>
      <c r="D471" s="31">
        <v>54</v>
      </c>
      <c r="E471" s="31">
        <v>12</v>
      </c>
    </row>
    <row r="472" spans="1:5" x14ac:dyDescent="0.6">
      <c r="B472" s="36" t="s">
        <v>1710</v>
      </c>
      <c r="C472" s="31">
        <v>73</v>
      </c>
      <c r="D472" s="31">
        <v>39</v>
      </c>
      <c r="E472" s="31">
        <v>3</v>
      </c>
    </row>
    <row r="474" spans="1:5" x14ac:dyDescent="0.6">
      <c r="B474" s="30" t="s">
        <v>1778</v>
      </c>
    </row>
    <row r="476" spans="1:5" x14ac:dyDescent="0.6">
      <c r="A476" s="30" t="s">
        <v>173</v>
      </c>
      <c r="B476" s="30" t="s">
        <v>1779</v>
      </c>
    </row>
    <row r="477" spans="1:5" x14ac:dyDescent="0.6">
      <c r="B477" s="30" t="s">
        <v>1780</v>
      </c>
    </row>
    <row r="479" spans="1:5" x14ac:dyDescent="0.6">
      <c r="A479" s="30" t="s">
        <v>1715</v>
      </c>
      <c r="B479" s="30" t="s">
        <v>1716</v>
      </c>
    </row>
    <row r="480" spans="1:5" x14ac:dyDescent="0.6">
      <c r="B480" s="200" t="s">
        <v>1752</v>
      </c>
      <c r="C480" s="240" t="s">
        <v>1781</v>
      </c>
      <c r="D480" s="240"/>
      <c r="E480" s="240"/>
    </row>
    <row r="481" spans="1:6" x14ac:dyDescent="0.6">
      <c r="B481" s="36"/>
      <c r="C481" s="31" t="s">
        <v>1774</v>
      </c>
      <c r="D481" s="31" t="s">
        <v>1775</v>
      </c>
      <c r="E481" s="31" t="s">
        <v>1776</v>
      </c>
      <c r="F481" s="203" t="s">
        <v>1718</v>
      </c>
    </row>
    <row r="482" spans="1:6" x14ac:dyDescent="0.6">
      <c r="B482" s="31" t="s">
        <v>1777</v>
      </c>
      <c r="C482" s="31">
        <v>75000</v>
      </c>
      <c r="D482" s="31">
        <v>54000</v>
      </c>
      <c r="E482" s="31">
        <v>12000</v>
      </c>
      <c r="F482" s="205">
        <f>SUM(C482:E482)</f>
        <v>141000</v>
      </c>
    </row>
    <row r="483" spans="1:6" x14ac:dyDescent="0.6">
      <c r="B483" s="31" t="s">
        <v>1710</v>
      </c>
      <c r="C483" s="31">
        <v>73000</v>
      </c>
      <c r="D483" s="31">
        <v>39000</v>
      </c>
      <c r="E483" s="31">
        <v>3000</v>
      </c>
      <c r="F483" s="205">
        <f t="shared" ref="F483:F484" si="6">SUM(C483:E483)</f>
        <v>115000</v>
      </c>
    </row>
    <row r="484" spans="1:6" x14ac:dyDescent="0.6">
      <c r="B484" s="201" t="s">
        <v>710</v>
      </c>
      <c r="C484" s="205">
        <f t="shared" ref="C484:E484" si="7">SUM(C482:C483)</f>
        <v>148000</v>
      </c>
      <c r="D484" s="205">
        <f t="shared" si="7"/>
        <v>93000</v>
      </c>
      <c r="E484" s="205">
        <f t="shared" si="7"/>
        <v>15000</v>
      </c>
      <c r="F484" s="206">
        <f t="shared" si="6"/>
        <v>256000</v>
      </c>
    </row>
    <row r="486" spans="1:6" x14ac:dyDescent="0.6">
      <c r="A486" s="30" t="s">
        <v>178</v>
      </c>
      <c r="B486" s="30" t="s">
        <v>1765</v>
      </c>
    </row>
    <row r="487" spans="1:6" ht="46.3" x14ac:dyDescent="0.6">
      <c r="B487" s="31" t="s">
        <v>1723</v>
      </c>
      <c r="C487" s="37" t="s">
        <v>1724</v>
      </c>
      <c r="D487" s="37" t="s">
        <v>1725</v>
      </c>
      <c r="E487" s="37" t="s">
        <v>1726</v>
      </c>
    </row>
    <row r="488" spans="1:6" x14ac:dyDescent="0.6">
      <c r="B488" s="196" t="s">
        <v>1727</v>
      </c>
      <c r="C488" s="205">
        <v>75000</v>
      </c>
      <c r="D488" s="197"/>
      <c r="E488" s="197"/>
    </row>
    <row r="489" spans="1:6" x14ac:dyDescent="0.6">
      <c r="B489" s="196" t="s">
        <v>1728</v>
      </c>
      <c r="C489" s="205">
        <v>54000</v>
      </c>
      <c r="D489" s="197"/>
      <c r="E489" s="197"/>
    </row>
    <row r="490" spans="1:6" x14ac:dyDescent="0.6">
      <c r="B490" s="196" t="s">
        <v>1729</v>
      </c>
      <c r="C490" s="205">
        <v>12000</v>
      </c>
      <c r="D490" s="197"/>
      <c r="E490" s="197"/>
    </row>
    <row r="491" spans="1:6" x14ac:dyDescent="0.6">
      <c r="B491" s="196" t="s">
        <v>1731</v>
      </c>
      <c r="C491" s="205">
        <v>73000</v>
      </c>
      <c r="D491" s="197"/>
      <c r="E491" s="197"/>
    </row>
    <row r="492" spans="1:6" x14ac:dyDescent="0.6">
      <c r="B492" s="196" t="s">
        <v>1732</v>
      </c>
      <c r="C492" s="205">
        <v>39000</v>
      </c>
      <c r="D492" s="197"/>
      <c r="E492" s="197"/>
    </row>
    <row r="493" spans="1:6" x14ac:dyDescent="0.6">
      <c r="B493" s="196" t="s">
        <v>1733</v>
      </c>
      <c r="C493" s="205">
        <v>3000</v>
      </c>
      <c r="D493" s="197"/>
      <c r="E493" s="197"/>
    </row>
    <row r="494" spans="1:6" x14ac:dyDescent="0.6">
      <c r="B494" s="206" t="s">
        <v>363</v>
      </c>
      <c r="C494" s="206">
        <f>SUM(C488:C493)</f>
        <v>256000</v>
      </c>
      <c r="D494" s="206">
        <f t="shared" ref="D494" si="8">SUM(D488:D493)</f>
        <v>0</v>
      </c>
      <c r="E494" s="198">
        <f>SUM(E488:E493)</f>
        <v>0</v>
      </c>
    </row>
    <row r="496" spans="1:6" x14ac:dyDescent="0.6">
      <c r="B496" s="30" t="s">
        <v>1782</v>
      </c>
    </row>
    <row r="498" spans="1:8" x14ac:dyDescent="0.6">
      <c r="A498" s="30" t="s">
        <v>487</v>
      </c>
      <c r="B498" s="30" t="s">
        <v>1767</v>
      </c>
      <c r="F498"/>
      <c r="G498" s="125">
        <f>CHIINV(5%,2)</f>
        <v>5.9914645471079817</v>
      </c>
    </row>
    <row r="499" spans="1:8" x14ac:dyDescent="0.6">
      <c r="B499" s="30" t="s">
        <v>1768</v>
      </c>
      <c r="F499"/>
      <c r="G499"/>
    </row>
    <row r="501" spans="1:8" x14ac:dyDescent="0.6">
      <c r="A501" s="30" t="s">
        <v>1468</v>
      </c>
      <c r="B501" s="30" t="s">
        <v>1783</v>
      </c>
    </row>
    <row r="502" spans="1:8" x14ac:dyDescent="0.6">
      <c r="B502" s="30" t="s">
        <v>1743</v>
      </c>
    </row>
    <row r="503" spans="1:8" x14ac:dyDescent="0.6">
      <c r="B503" s="30" t="s">
        <v>1784</v>
      </c>
    </row>
    <row r="505" spans="1:8" x14ac:dyDescent="0.6">
      <c r="B505" s="30" t="s">
        <v>1746</v>
      </c>
      <c r="D505" s="207">
        <f>1-_xlfn.CHISQ.DIST(E494,2,1)</f>
        <v>1</v>
      </c>
      <c r="E505" s="30" t="s">
        <v>538</v>
      </c>
    </row>
    <row r="506" spans="1:8" x14ac:dyDescent="0.6">
      <c r="B506" s="30" t="s">
        <v>1771</v>
      </c>
    </row>
    <row r="508" spans="1:8" ht="33.450000000000003" x14ac:dyDescent="0.85">
      <c r="A508" s="30" t="s">
        <v>610</v>
      </c>
      <c r="B508" s="29" t="s">
        <v>1785</v>
      </c>
    </row>
    <row r="509" spans="1:8" x14ac:dyDescent="0.6">
      <c r="B509" s="30" t="s">
        <v>1786</v>
      </c>
    </row>
    <row r="510" spans="1:8" x14ac:dyDescent="0.6">
      <c r="B510" s="30" t="s">
        <v>1787</v>
      </c>
    </row>
    <row r="512" spans="1:8" x14ac:dyDescent="0.6">
      <c r="B512" s="31">
        <v>517</v>
      </c>
      <c r="C512" s="31">
        <v>535</v>
      </c>
      <c r="D512" s="31">
        <v>550</v>
      </c>
      <c r="E512" s="31">
        <v>544</v>
      </c>
      <c r="F512" s="31">
        <v>513</v>
      </c>
      <c r="G512" s="207" t="s">
        <v>79</v>
      </c>
      <c r="H512" s="209">
        <f>MAX(B512:F541)</f>
        <v>599</v>
      </c>
    </row>
    <row r="513" spans="2:8" x14ac:dyDescent="0.6">
      <c r="B513" s="31">
        <v>526</v>
      </c>
      <c r="C513" s="31">
        <v>596</v>
      </c>
      <c r="D513" s="31">
        <v>508</v>
      </c>
      <c r="E513" s="31">
        <v>575</v>
      </c>
      <c r="F513" s="31">
        <v>544</v>
      </c>
      <c r="G513" s="207" t="s">
        <v>1788</v>
      </c>
      <c r="H513" s="209">
        <f>MIN(B512:F541)</f>
        <v>500</v>
      </c>
    </row>
    <row r="514" spans="2:8" x14ac:dyDescent="0.6">
      <c r="B514" s="31">
        <v>578</v>
      </c>
      <c r="C514" s="31">
        <v>556</v>
      </c>
      <c r="D514" s="31">
        <v>550</v>
      </c>
      <c r="E514" s="31">
        <v>588</v>
      </c>
      <c r="F514" s="31">
        <v>539</v>
      </c>
    </row>
    <row r="515" spans="2:8" x14ac:dyDescent="0.6">
      <c r="B515" s="31">
        <v>574</v>
      </c>
      <c r="C515" s="31">
        <v>535</v>
      </c>
      <c r="D515" s="31">
        <v>587</v>
      </c>
      <c r="E515" s="31">
        <v>566</v>
      </c>
      <c r="F515" s="31">
        <v>525</v>
      </c>
    </row>
    <row r="516" spans="2:8" x14ac:dyDescent="0.6">
      <c r="B516" s="31">
        <v>522</v>
      </c>
      <c r="C516" s="31">
        <v>595</v>
      </c>
      <c r="D516" s="31">
        <v>571</v>
      </c>
      <c r="E516" s="31">
        <v>530</v>
      </c>
      <c r="F516" s="31">
        <v>598</v>
      </c>
    </row>
    <row r="517" spans="2:8" x14ac:dyDescent="0.6">
      <c r="B517" s="31">
        <v>599</v>
      </c>
      <c r="C517" s="31">
        <v>558</v>
      </c>
      <c r="D517" s="31">
        <v>538</v>
      </c>
      <c r="E517" s="31">
        <v>517</v>
      </c>
      <c r="F517" s="31">
        <v>597</v>
      </c>
    </row>
    <row r="518" spans="2:8" x14ac:dyDescent="0.6">
      <c r="B518" s="31">
        <v>548</v>
      </c>
      <c r="C518" s="31">
        <v>516</v>
      </c>
      <c r="D518" s="31">
        <v>554</v>
      </c>
      <c r="E518" s="31">
        <v>512</v>
      </c>
      <c r="F518" s="31">
        <v>519</v>
      </c>
    </row>
    <row r="519" spans="2:8" x14ac:dyDescent="0.6">
      <c r="B519" s="31">
        <v>597</v>
      </c>
      <c r="C519" s="31">
        <v>571</v>
      </c>
      <c r="D519" s="31">
        <v>581</v>
      </c>
      <c r="E519" s="31">
        <v>567</v>
      </c>
      <c r="F519" s="31">
        <v>516</v>
      </c>
    </row>
    <row r="520" spans="2:8" x14ac:dyDescent="0.6">
      <c r="B520" s="31">
        <v>527</v>
      </c>
      <c r="C520" s="31">
        <v>544</v>
      </c>
      <c r="D520" s="31">
        <v>584</v>
      </c>
      <c r="E520" s="31">
        <v>584</v>
      </c>
      <c r="F520" s="31">
        <v>515</v>
      </c>
    </row>
    <row r="521" spans="2:8" x14ac:dyDescent="0.6">
      <c r="B521" s="31">
        <v>508</v>
      </c>
      <c r="C521" s="31">
        <v>506</v>
      </c>
      <c r="D521" s="31">
        <v>543</v>
      </c>
      <c r="E521" s="31">
        <v>567</v>
      </c>
      <c r="F521" s="31">
        <v>585</v>
      </c>
    </row>
    <row r="522" spans="2:8" x14ac:dyDescent="0.6">
      <c r="B522" s="31">
        <v>539</v>
      </c>
      <c r="C522" s="31">
        <v>513</v>
      </c>
      <c r="D522" s="31">
        <v>559</v>
      </c>
      <c r="E522" s="31">
        <v>537</v>
      </c>
      <c r="F522" s="31">
        <v>569</v>
      </c>
    </row>
    <row r="523" spans="2:8" x14ac:dyDescent="0.6">
      <c r="B523" s="31">
        <v>585</v>
      </c>
      <c r="C523" s="31">
        <v>587</v>
      </c>
      <c r="D523" s="31">
        <v>521</v>
      </c>
      <c r="E523" s="31">
        <v>500</v>
      </c>
      <c r="F523" s="31">
        <v>560</v>
      </c>
    </row>
    <row r="524" spans="2:8" x14ac:dyDescent="0.6">
      <c r="B524" s="31">
        <v>553</v>
      </c>
      <c r="C524" s="31">
        <v>539</v>
      </c>
      <c r="D524" s="31">
        <v>546</v>
      </c>
      <c r="E524" s="31">
        <v>545</v>
      </c>
      <c r="F524" s="31">
        <v>577</v>
      </c>
    </row>
    <row r="525" spans="2:8" x14ac:dyDescent="0.6">
      <c r="B525" s="31">
        <v>560</v>
      </c>
      <c r="C525" s="31">
        <v>551</v>
      </c>
      <c r="D525" s="31">
        <v>522</v>
      </c>
      <c r="E525" s="31">
        <v>524</v>
      </c>
      <c r="F525" s="31">
        <v>553</v>
      </c>
    </row>
    <row r="526" spans="2:8" x14ac:dyDescent="0.6">
      <c r="B526" s="31">
        <v>529</v>
      </c>
      <c r="C526" s="31">
        <v>551</v>
      </c>
      <c r="D526" s="31">
        <v>574</v>
      </c>
      <c r="E526" s="31">
        <v>579</v>
      </c>
      <c r="F526" s="31">
        <v>563</v>
      </c>
    </row>
    <row r="527" spans="2:8" x14ac:dyDescent="0.6">
      <c r="B527" s="31">
        <v>562</v>
      </c>
      <c r="C527" s="31">
        <v>523</v>
      </c>
      <c r="D527" s="31">
        <v>561</v>
      </c>
      <c r="E527" s="31">
        <v>555</v>
      </c>
      <c r="F527" s="31">
        <v>549</v>
      </c>
    </row>
    <row r="528" spans="2:8" x14ac:dyDescent="0.6">
      <c r="B528" s="31">
        <v>540</v>
      </c>
      <c r="C528" s="31">
        <v>529</v>
      </c>
      <c r="D528" s="31">
        <v>580</v>
      </c>
      <c r="E528" s="31">
        <v>578</v>
      </c>
      <c r="F528" s="31">
        <v>530</v>
      </c>
    </row>
    <row r="529" spans="1:6" x14ac:dyDescent="0.6">
      <c r="B529" s="31">
        <v>563</v>
      </c>
      <c r="C529" s="31">
        <v>524</v>
      </c>
      <c r="D529" s="31">
        <v>540</v>
      </c>
      <c r="E529" s="31">
        <v>533</v>
      </c>
      <c r="F529" s="31">
        <v>572</v>
      </c>
    </row>
    <row r="530" spans="1:6" x14ac:dyDescent="0.6">
      <c r="B530" s="31">
        <v>551</v>
      </c>
      <c r="C530" s="31">
        <v>546</v>
      </c>
      <c r="D530" s="31">
        <v>564</v>
      </c>
      <c r="E530" s="31">
        <v>549</v>
      </c>
      <c r="F530" s="31">
        <v>524</v>
      </c>
    </row>
    <row r="531" spans="1:6" x14ac:dyDescent="0.6">
      <c r="B531" s="31">
        <v>533</v>
      </c>
      <c r="C531" s="31">
        <v>536</v>
      </c>
      <c r="D531" s="31">
        <v>576</v>
      </c>
      <c r="E531" s="31">
        <v>534</v>
      </c>
      <c r="F531" s="31">
        <v>525</v>
      </c>
    </row>
    <row r="532" spans="1:6" x14ac:dyDescent="0.6">
      <c r="B532" s="31">
        <v>530</v>
      </c>
      <c r="C532" s="31">
        <v>526</v>
      </c>
      <c r="D532" s="31">
        <v>575</v>
      </c>
      <c r="E532" s="31">
        <v>524</v>
      </c>
      <c r="F532" s="31">
        <v>576</v>
      </c>
    </row>
    <row r="533" spans="1:6" x14ac:dyDescent="0.6">
      <c r="B533" s="31">
        <v>552</v>
      </c>
      <c r="C533" s="31">
        <v>529</v>
      </c>
      <c r="D533" s="31">
        <v>562</v>
      </c>
      <c r="E533" s="31">
        <v>532</v>
      </c>
      <c r="F533" s="31">
        <v>533</v>
      </c>
    </row>
    <row r="534" spans="1:6" x14ac:dyDescent="0.6">
      <c r="B534" s="31">
        <v>574</v>
      </c>
      <c r="C534" s="31">
        <v>554</v>
      </c>
      <c r="D534" s="31">
        <v>531</v>
      </c>
      <c r="E534" s="31">
        <v>531</v>
      </c>
      <c r="F534" s="31">
        <v>563</v>
      </c>
    </row>
    <row r="535" spans="1:6" x14ac:dyDescent="0.6">
      <c r="B535" s="31">
        <v>534</v>
      </c>
      <c r="C535" s="31">
        <v>544</v>
      </c>
      <c r="D535" s="31">
        <v>553</v>
      </c>
      <c r="E535" s="31">
        <v>553</v>
      </c>
      <c r="F535" s="31">
        <v>551</v>
      </c>
    </row>
    <row r="536" spans="1:6" x14ac:dyDescent="0.6">
      <c r="B536" s="31">
        <v>549</v>
      </c>
      <c r="C536" s="31">
        <v>546</v>
      </c>
      <c r="D536" s="31">
        <v>555</v>
      </c>
      <c r="E536" s="31">
        <v>556</v>
      </c>
      <c r="F536" s="31">
        <v>542</v>
      </c>
    </row>
    <row r="537" spans="1:6" x14ac:dyDescent="0.6">
      <c r="B537" s="31">
        <v>554</v>
      </c>
      <c r="C537" s="31">
        <v>545</v>
      </c>
      <c r="D537" s="31">
        <v>557</v>
      </c>
      <c r="E537" s="31">
        <v>550</v>
      </c>
      <c r="F537" s="31">
        <v>550</v>
      </c>
    </row>
    <row r="538" spans="1:6" x14ac:dyDescent="0.6">
      <c r="B538" s="31">
        <v>552</v>
      </c>
      <c r="C538" s="31">
        <v>559</v>
      </c>
      <c r="D538" s="31">
        <v>560</v>
      </c>
      <c r="E538" s="31">
        <v>543</v>
      </c>
      <c r="F538" s="31">
        <v>544</v>
      </c>
    </row>
    <row r="539" spans="1:6" x14ac:dyDescent="0.6">
      <c r="B539" s="31">
        <v>546</v>
      </c>
      <c r="C539" s="31">
        <v>546</v>
      </c>
      <c r="D539" s="31">
        <v>553</v>
      </c>
      <c r="E539" s="31">
        <v>552</v>
      </c>
      <c r="F539" s="31">
        <v>550</v>
      </c>
    </row>
    <row r="540" spans="1:6" x14ac:dyDescent="0.6">
      <c r="B540" s="31">
        <v>555</v>
      </c>
      <c r="C540" s="31">
        <v>552</v>
      </c>
      <c r="D540" s="31">
        <v>543</v>
      </c>
      <c r="E540" s="31">
        <v>559</v>
      </c>
      <c r="F540" s="31">
        <v>540</v>
      </c>
    </row>
    <row r="541" spans="1:6" x14ac:dyDescent="0.6">
      <c r="B541" s="31">
        <v>541</v>
      </c>
      <c r="C541" s="31">
        <v>560</v>
      </c>
      <c r="D541" s="31">
        <v>546</v>
      </c>
      <c r="E541" s="31">
        <v>545</v>
      </c>
      <c r="F541" s="31">
        <v>553</v>
      </c>
    </row>
    <row r="542" spans="1:6" x14ac:dyDescent="0.6">
      <c r="B542" s="39"/>
      <c r="C542" s="39"/>
      <c r="D542" s="39"/>
      <c r="E542" s="39"/>
      <c r="F542" s="39"/>
    </row>
    <row r="544" spans="1:6" x14ac:dyDescent="0.6">
      <c r="A544" s="241" t="s">
        <v>18</v>
      </c>
      <c r="B544" s="227" t="s">
        <v>83</v>
      </c>
      <c r="C544" s="228"/>
      <c r="D544" s="37" t="s">
        <v>84</v>
      </c>
      <c r="E544" s="37" t="s">
        <v>1789</v>
      </c>
      <c r="F544" s="37" t="s">
        <v>1790</v>
      </c>
    </row>
    <row r="545" spans="1:8" x14ac:dyDescent="0.6">
      <c r="A545" s="241"/>
      <c r="B545" s="31" t="s">
        <v>81</v>
      </c>
      <c r="C545" s="31" t="s">
        <v>82</v>
      </c>
      <c r="D545" s="31" t="s">
        <v>85</v>
      </c>
      <c r="E545" s="31" t="s">
        <v>87</v>
      </c>
      <c r="F545" s="31" t="s">
        <v>63</v>
      </c>
      <c r="G545" s="31" t="s">
        <v>97</v>
      </c>
      <c r="H545" s="31" t="s">
        <v>98</v>
      </c>
    </row>
    <row r="546" spans="1:8" x14ac:dyDescent="0.6">
      <c r="A546" s="64">
        <v>1</v>
      </c>
      <c r="B546" s="64">
        <f>H513</f>
        <v>500</v>
      </c>
      <c r="C546" s="64">
        <f>B546+5</f>
        <v>505</v>
      </c>
      <c r="D546" s="64">
        <f>FREQUENCY($B$512:$F$541,C546)</f>
        <v>1</v>
      </c>
      <c r="E546" s="64">
        <f>D546</f>
        <v>1</v>
      </c>
      <c r="F546" s="71">
        <f>AVERAGE(B546:C546)</f>
        <v>502.5</v>
      </c>
      <c r="G546" s="71">
        <f>E546*F546</f>
        <v>502.5</v>
      </c>
      <c r="H546" s="71">
        <f>E546*(F546-$C$567)^2</f>
        <v>2149.8677777777784</v>
      </c>
    </row>
    <row r="547" spans="1:8" x14ac:dyDescent="0.6">
      <c r="A547" s="64">
        <v>2</v>
      </c>
      <c r="B547" s="64">
        <f>C546</f>
        <v>505</v>
      </c>
      <c r="C547" s="64">
        <f>B547+5</f>
        <v>510</v>
      </c>
      <c r="D547" s="64">
        <f t="shared" ref="D547:D565" si="9">FREQUENCY($B$512:$F$541,C547)</f>
        <v>4</v>
      </c>
      <c r="E547" s="64">
        <f>D547-D546</f>
        <v>3</v>
      </c>
      <c r="F547" s="71">
        <f t="shared" ref="F547:F565" si="10">AVERAGE(B547:C547)</f>
        <v>507.5</v>
      </c>
      <c r="G547" s="71">
        <f t="shared" ref="G547:G565" si="11">E547*F547</f>
        <v>1522.5</v>
      </c>
      <c r="H547" s="71">
        <f t="shared" ref="H547:H565" si="12">E547*(F547-$C$567)^2</f>
        <v>5133.6033333333353</v>
      </c>
    </row>
    <row r="548" spans="1:8" x14ac:dyDescent="0.6">
      <c r="A548" s="64">
        <v>3</v>
      </c>
      <c r="B548" s="64">
        <f t="shared" ref="B548:B565" si="13">C547</f>
        <v>510</v>
      </c>
      <c r="C548" s="64">
        <f t="shared" ref="C548:C565" si="14">B548+5</f>
        <v>515</v>
      </c>
      <c r="D548" s="64">
        <f t="shared" si="9"/>
        <v>8</v>
      </c>
      <c r="E548" s="64">
        <f t="shared" ref="E548:E565" si="15">D548-D547</f>
        <v>4</v>
      </c>
      <c r="F548" s="71">
        <f t="shared" si="10"/>
        <v>512.5</v>
      </c>
      <c r="G548" s="71">
        <f t="shared" si="11"/>
        <v>2050</v>
      </c>
      <c r="H548" s="71">
        <f t="shared" si="12"/>
        <v>5290.1377777777798</v>
      </c>
    </row>
    <row r="549" spans="1:8" x14ac:dyDescent="0.6">
      <c r="A549" s="64">
        <v>4</v>
      </c>
      <c r="B549" s="64">
        <f t="shared" si="13"/>
        <v>515</v>
      </c>
      <c r="C549" s="64">
        <f t="shared" si="14"/>
        <v>520</v>
      </c>
      <c r="D549" s="64">
        <f t="shared" si="9"/>
        <v>13</v>
      </c>
      <c r="E549" s="64">
        <f t="shared" si="15"/>
        <v>5</v>
      </c>
      <c r="F549" s="71">
        <f t="shared" si="10"/>
        <v>517.5</v>
      </c>
      <c r="G549" s="71">
        <f t="shared" si="11"/>
        <v>2587.5</v>
      </c>
      <c r="H549" s="71">
        <f t="shared" si="12"/>
        <v>4919.3388888888912</v>
      </c>
    </row>
    <row r="550" spans="1:8" x14ac:dyDescent="0.6">
      <c r="A550" s="64">
        <v>5</v>
      </c>
      <c r="B550" s="64">
        <f t="shared" si="13"/>
        <v>520</v>
      </c>
      <c r="C550" s="64">
        <f t="shared" si="14"/>
        <v>525</v>
      </c>
      <c r="D550" s="64">
        <f t="shared" si="9"/>
        <v>23</v>
      </c>
      <c r="E550" s="64">
        <f t="shared" si="15"/>
        <v>10</v>
      </c>
      <c r="F550" s="71">
        <f t="shared" si="10"/>
        <v>522.5</v>
      </c>
      <c r="G550" s="71">
        <f t="shared" si="11"/>
        <v>5225</v>
      </c>
      <c r="H550" s="71">
        <f t="shared" si="12"/>
        <v>6952.0111111111146</v>
      </c>
    </row>
    <row r="551" spans="1:8" x14ac:dyDescent="0.6">
      <c r="A551" s="64">
        <v>6</v>
      </c>
      <c r="B551" s="64">
        <f t="shared" si="13"/>
        <v>525</v>
      </c>
      <c r="C551" s="64">
        <f t="shared" si="14"/>
        <v>530</v>
      </c>
      <c r="D551" s="64">
        <f t="shared" si="9"/>
        <v>32</v>
      </c>
      <c r="E551" s="64">
        <f t="shared" si="15"/>
        <v>9</v>
      </c>
      <c r="F551" s="71">
        <f t="shared" si="10"/>
        <v>527.5</v>
      </c>
      <c r="G551" s="71">
        <f t="shared" si="11"/>
        <v>4747.5</v>
      </c>
      <c r="H551" s="71">
        <f t="shared" si="12"/>
        <v>4108.8100000000031</v>
      </c>
    </row>
    <row r="552" spans="1:8" x14ac:dyDescent="0.6">
      <c r="A552" s="64">
        <v>7</v>
      </c>
      <c r="B552" s="64">
        <f t="shared" si="13"/>
        <v>530</v>
      </c>
      <c r="C552" s="64">
        <f t="shared" si="14"/>
        <v>535</v>
      </c>
      <c r="D552" s="64">
        <f t="shared" si="9"/>
        <v>42</v>
      </c>
      <c r="E552" s="64">
        <f t="shared" si="15"/>
        <v>10</v>
      </c>
      <c r="F552" s="71">
        <f t="shared" si="10"/>
        <v>532.5</v>
      </c>
      <c r="G552" s="71">
        <f t="shared" si="11"/>
        <v>5325</v>
      </c>
      <c r="H552" s="71">
        <f t="shared" si="12"/>
        <v>2678.6777777777802</v>
      </c>
    </row>
    <row r="553" spans="1:8" x14ac:dyDescent="0.6">
      <c r="A553" s="64">
        <v>8</v>
      </c>
      <c r="B553" s="64">
        <f t="shared" si="13"/>
        <v>535</v>
      </c>
      <c r="C553" s="64">
        <f t="shared" si="14"/>
        <v>540</v>
      </c>
      <c r="D553" s="64">
        <f t="shared" si="9"/>
        <v>51</v>
      </c>
      <c r="E553" s="64">
        <f t="shared" si="15"/>
        <v>9</v>
      </c>
      <c r="F553" s="71">
        <f t="shared" si="10"/>
        <v>537.5</v>
      </c>
      <c r="G553" s="71">
        <f t="shared" si="11"/>
        <v>4837.5</v>
      </c>
      <c r="H553" s="71">
        <f t="shared" si="12"/>
        <v>1162.8100000000015</v>
      </c>
    </row>
    <row r="554" spans="1:8" x14ac:dyDescent="0.6">
      <c r="A554" s="64">
        <v>9</v>
      </c>
      <c r="B554" s="64">
        <f t="shared" si="13"/>
        <v>540</v>
      </c>
      <c r="C554" s="64">
        <f t="shared" si="14"/>
        <v>545</v>
      </c>
      <c r="D554" s="64">
        <f t="shared" si="9"/>
        <v>64</v>
      </c>
      <c r="E554" s="64">
        <f t="shared" si="15"/>
        <v>13</v>
      </c>
      <c r="F554" s="71">
        <f t="shared" si="10"/>
        <v>542.5</v>
      </c>
      <c r="G554" s="71">
        <f t="shared" si="11"/>
        <v>7052.5</v>
      </c>
      <c r="H554" s="71">
        <f t="shared" si="12"/>
        <v>526.94777777777904</v>
      </c>
    </row>
    <row r="555" spans="1:8" x14ac:dyDescent="0.6">
      <c r="A555" s="64">
        <v>10</v>
      </c>
      <c r="B555" s="64">
        <f t="shared" si="13"/>
        <v>545</v>
      </c>
      <c r="C555" s="64">
        <f t="shared" si="14"/>
        <v>550</v>
      </c>
      <c r="D555" s="64">
        <f t="shared" si="9"/>
        <v>79</v>
      </c>
      <c r="E555" s="64">
        <f t="shared" si="15"/>
        <v>15</v>
      </c>
      <c r="F555" s="71">
        <f t="shared" si="10"/>
        <v>547.5</v>
      </c>
      <c r="G555" s="71">
        <f t="shared" si="11"/>
        <v>8212.5</v>
      </c>
      <c r="H555" s="71">
        <f t="shared" si="12"/>
        <v>28.016666666666975</v>
      </c>
    </row>
    <row r="556" spans="1:8" x14ac:dyDescent="0.6">
      <c r="A556" s="64">
        <v>11</v>
      </c>
      <c r="B556" s="64">
        <f t="shared" si="13"/>
        <v>550</v>
      </c>
      <c r="C556" s="64">
        <f t="shared" si="14"/>
        <v>555</v>
      </c>
      <c r="D556" s="64">
        <f t="shared" si="9"/>
        <v>99</v>
      </c>
      <c r="E556" s="64">
        <f t="shared" si="15"/>
        <v>20</v>
      </c>
      <c r="F556" s="71">
        <f t="shared" si="10"/>
        <v>552.5</v>
      </c>
      <c r="G556" s="71">
        <f t="shared" si="11"/>
        <v>11050</v>
      </c>
      <c r="H556" s="71">
        <f t="shared" si="12"/>
        <v>264.0222222222211</v>
      </c>
    </row>
    <row r="557" spans="1:8" x14ac:dyDescent="0.6">
      <c r="A557" s="64">
        <v>12</v>
      </c>
      <c r="B557" s="64">
        <f t="shared" si="13"/>
        <v>555</v>
      </c>
      <c r="C557" s="64">
        <f t="shared" si="14"/>
        <v>560</v>
      </c>
      <c r="D557" s="64">
        <f t="shared" si="9"/>
        <v>110</v>
      </c>
      <c r="E557" s="64">
        <f t="shared" si="15"/>
        <v>11</v>
      </c>
      <c r="F557" s="71">
        <f t="shared" si="10"/>
        <v>557.5</v>
      </c>
      <c r="G557" s="71">
        <f t="shared" si="11"/>
        <v>6132.5</v>
      </c>
      <c r="H557" s="71">
        <f t="shared" si="12"/>
        <v>819.87888888888756</v>
      </c>
    </row>
    <row r="558" spans="1:8" x14ac:dyDescent="0.6">
      <c r="A558" s="64">
        <v>13</v>
      </c>
      <c r="B558" s="64">
        <f t="shared" si="13"/>
        <v>560</v>
      </c>
      <c r="C558" s="64">
        <f t="shared" si="14"/>
        <v>565</v>
      </c>
      <c r="D558" s="64">
        <f t="shared" si="9"/>
        <v>117</v>
      </c>
      <c r="E558" s="64">
        <f t="shared" si="15"/>
        <v>7</v>
      </c>
      <c r="F558" s="71">
        <f t="shared" si="10"/>
        <v>562.5</v>
      </c>
      <c r="G558" s="71">
        <f t="shared" si="11"/>
        <v>3937.5</v>
      </c>
      <c r="H558" s="71">
        <f t="shared" si="12"/>
        <v>1301.0744444444431</v>
      </c>
    </row>
    <row r="559" spans="1:8" x14ac:dyDescent="0.6">
      <c r="A559" s="64">
        <v>14</v>
      </c>
      <c r="B559" s="64">
        <f t="shared" si="13"/>
        <v>565</v>
      </c>
      <c r="C559" s="64">
        <f t="shared" si="14"/>
        <v>570</v>
      </c>
      <c r="D559" s="64">
        <f t="shared" si="9"/>
        <v>121</v>
      </c>
      <c r="E559" s="64">
        <f t="shared" si="15"/>
        <v>4</v>
      </c>
      <c r="F559" s="71">
        <f t="shared" si="10"/>
        <v>567.5</v>
      </c>
      <c r="G559" s="71">
        <f t="shared" si="11"/>
        <v>2270</v>
      </c>
      <c r="H559" s="71">
        <f t="shared" si="12"/>
        <v>1388.8044444444433</v>
      </c>
    </row>
    <row r="560" spans="1:8" x14ac:dyDescent="0.6">
      <c r="A560" s="64">
        <v>15</v>
      </c>
      <c r="B560" s="64">
        <f t="shared" si="13"/>
        <v>570</v>
      </c>
      <c r="C560" s="64">
        <f t="shared" si="14"/>
        <v>575</v>
      </c>
      <c r="D560" s="64">
        <f t="shared" si="9"/>
        <v>129</v>
      </c>
      <c r="E560" s="64">
        <f t="shared" si="15"/>
        <v>8</v>
      </c>
      <c r="F560" s="71">
        <f t="shared" si="10"/>
        <v>572.5</v>
      </c>
      <c r="G560" s="71">
        <f t="shared" si="11"/>
        <v>4580</v>
      </c>
      <c r="H560" s="71">
        <f t="shared" si="12"/>
        <v>4468.2755555555523</v>
      </c>
    </row>
    <row r="561" spans="1:8" x14ac:dyDescent="0.6">
      <c r="A561" s="64">
        <v>16</v>
      </c>
      <c r="B561" s="64">
        <f>C560</f>
        <v>575</v>
      </c>
      <c r="C561" s="64">
        <f>B561+5</f>
        <v>580</v>
      </c>
      <c r="D561" s="64">
        <f t="shared" si="9"/>
        <v>136</v>
      </c>
      <c r="E561" s="64">
        <f t="shared" si="15"/>
        <v>7</v>
      </c>
      <c r="F561" s="71">
        <f t="shared" si="10"/>
        <v>577.5</v>
      </c>
      <c r="G561" s="71">
        <f t="shared" si="11"/>
        <v>4042.5</v>
      </c>
      <c r="H561" s="71">
        <f t="shared" si="12"/>
        <v>5739.0744444444408</v>
      </c>
    </row>
    <row r="562" spans="1:8" x14ac:dyDescent="0.6">
      <c r="A562" s="64">
        <v>17</v>
      </c>
      <c r="B562" s="64">
        <f t="shared" si="13"/>
        <v>580</v>
      </c>
      <c r="C562" s="64">
        <f t="shared" si="14"/>
        <v>585</v>
      </c>
      <c r="D562" s="64">
        <f t="shared" si="9"/>
        <v>141</v>
      </c>
      <c r="E562" s="64">
        <f t="shared" si="15"/>
        <v>5</v>
      </c>
      <c r="F562" s="71">
        <f t="shared" si="10"/>
        <v>582.5</v>
      </c>
      <c r="G562" s="71">
        <f t="shared" si="11"/>
        <v>2912.5</v>
      </c>
      <c r="H562" s="71">
        <f t="shared" si="12"/>
        <v>5656.0055555555527</v>
      </c>
    </row>
    <row r="563" spans="1:8" x14ac:dyDescent="0.6">
      <c r="A563" s="64">
        <v>18</v>
      </c>
      <c r="B563" s="64">
        <f t="shared" si="13"/>
        <v>585</v>
      </c>
      <c r="C563" s="64">
        <f t="shared" si="14"/>
        <v>590</v>
      </c>
      <c r="D563" s="64">
        <f t="shared" si="9"/>
        <v>144</v>
      </c>
      <c r="E563" s="64">
        <f t="shared" si="15"/>
        <v>3</v>
      </c>
      <c r="F563" s="71">
        <f t="shared" si="10"/>
        <v>587.5</v>
      </c>
      <c r="G563" s="71">
        <f t="shared" si="11"/>
        <v>1762.5</v>
      </c>
      <c r="H563" s="71">
        <f t="shared" si="12"/>
        <v>4477.6033333333316</v>
      </c>
    </row>
    <row r="564" spans="1:8" x14ac:dyDescent="0.6">
      <c r="A564" s="64">
        <v>19</v>
      </c>
      <c r="B564" s="64">
        <f t="shared" si="13"/>
        <v>590</v>
      </c>
      <c r="C564" s="64">
        <f t="shared" si="14"/>
        <v>595</v>
      </c>
      <c r="D564" s="64">
        <f t="shared" si="9"/>
        <v>145</v>
      </c>
      <c r="E564" s="64">
        <f t="shared" si="15"/>
        <v>1</v>
      </c>
      <c r="F564" s="71">
        <f t="shared" si="10"/>
        <v>592.5</v>
      </c>
      <c r="G564" s="71">
        <f t="shared" si="11"/>
        <v>592.5</v>
      </c>
      <c r="H564" s="71">
        <f t="shared" si="12"/>
        <v>1903.8677777777771</v>
      </c>
    </row>
    <row r="565" spans="1:8" x14ac:dyDescent="0.6">
      <c r="A565" s="64">
        <v>20</v>
      </c>
      <c r="B565" s="64">
        <f t="shared" si="13"/>
        <v>595</v>
      </c>
      <c r="C565" s="64">
        <f t="shared" si="14"/>
        <v>600</v>
      </c>
      <c r="D565" s="64">
        <f t="shared" si="9"/>
        <v>150</v>
      </c>
      <c r="E565" s="64">
        <f t="shared" si="15"/>
        <v>5</v>
      </c>
      <c r="F565" s="71">
        <f t="shared" si="10"/>
        <v>597.5</v>
      </c>
      <c r="G565" s="71">
        <f t="shared" si="11"/>
        <v>2987.5</v>
      </c>
      <c r="H565" s="71">
        <f t="shared" si="12"/>
        <v>11826.005555555552</v>
      </c>
    </row>
    <row r="566" spans="1:8" x14ac:dyDescent="0.6">
      <c r="D566" s="64"/>
      <c r="E566" s="67">
        <f>SUM(E546:E565)</f>
        <v>150</v>
      </c>
      <c r="F566" s="71"/>
      <c r="G566" s="82">
        <f t="shared" ref="G566:H566" si="16">SUM(G546:G565)</f>
        <v>82330</v>
      </c>
      <c r="H566" s="69">
        <f t="shared" si="16"/>
        <v>70794.833333333343</v>
      </c>
    </row>
    <row r="567" spans="1:8" x14ac:dyDescent="0.6">
      <c r="B567" s="67" t="s">
        <v>21</v>
      </c>
      <c r="C567" s="68">
        <f>G566/E566</f>
        <v>548.86666666666667</v>
      </c>
      <c r="D567" s="64"/>
      <c r="F567" s="71"/>
    </row>
    <row r="568" spans="1:8" x14ac:dyDescent="0.6">
      <c r="B568" s="67" t="s">
        <v>29</v>
      </c>
      <c r="C568" s="68">
        <f>H566/E566</f>
        <v>471.96555555555562</v>
      </c>
      <c r="D568" s="64"/>
      <c r="F568" s="71"/>
    </row>
    <row r="569" spans="1:8" x14ac:dyDescent="0.6">
      <c r="B569" s="67" t="s">
        <v>65</v>
      </c>
      <c r="C569" s="68">
        <f>SQRT(C568)</f>
        <v>21.724768250905591</v>
      </c>
      <c r="D569" s="64"/>
      <c r="F569" s="71"/>
    </row>
    <row r="571" spans="1:8" x14ac:dyDescent="0.6">
      <c r="A571" s="30" t="s">
        <v>1791</v>
      </c>
      <c r="B571" s="30" t="s">
        <v>1792</v>
      </c>
    </row>
    <row r="572" spans="1:8" x14ac:dyDescent="0.6">
      <c r="B572" s="30" t="s">
        <v>1793</v>
      </c>
    </row>
    <row r="573" spans="1:8" x14ac:dyDescent="0.6">
      <c r="B573" s="30" t="s">
        <v>1794</v>
      </c>
    </row>
    <row r="574" spans="1:8" x14ac:dyDescent="0.6">
      <c r="B574" s="30" t="s">
        <v>1795</v>
      </c>
    </row>
    <row r="576" spans="1:8" x14ac:dyDescent="0.6">
      <c r="A576" s="30" t="s">
        <v>176</v>
      </c>
      <c r="B576" s="30" t="s">
        <v>1765</v>
      </c>
    </row>
    <row r="578" spans="1:6" ht="46.3" x14ac:dyDescent="0.6">
      <c r="A578" s="210" t="s">
        <v>18</v>
      </c>
      <c r="B578" s="31" t="s">
        <v>81</v>
      </c>
      <c r="C578" s="31" t="s">
        <v>82</v>
      </c>
      <c r="D578" s="188" t="s">
        <v>1724</v>
      </c>
      <c r="E578" s="37" t="s">
        <v>1796</v>
      </c>
      <c r="F578" s="37" t="s">
        <v>1726</v>
      </c>
    </row>
    <row r="579" spans="1:6" x14ac:dyDescent="0.6">
      <c r="A579" s="210">
        <v>1</v>
      </c>
      <c r="B579" s="31">
        <v>500</v>
      </c>
      <c r="C579" s="31">
        <f>B579+5</f>
        <v>505</v>
      </c>
      <c r="D579" s="31">
        <v>1</v>
      </c>
      <c r="E579" s="139">
        <f>(_xlfn.NORM.DIST(C579,$C$567,$C$569,1)-_xlfn.NORM.DIST(B579,$C$567,$C$569,1))*$E$566</f>
        <v>1.4232226979895533</v>
      </c>
      <c r="F579" s="38">
        <f>((D579-E579)^2)/E579</f>
        <v>0.12585342571234862</v>
      </c>
    </row>
    <row r="580" spans="1:6" x14ac:dyDescent="0.6">
      <c r="A580" s="210">
        <v>2</v>
      </c>
      <c r="B580" s="31">
        <f>C579</f>
        <v>505</v>
      </c>
      <c r="C580" s="31">
        <f>B580+5</f>
        <v>510</v>
      </c>
      <c r="D580" s="31">
        <v>3</v>
      </c>
      <c r="E580" s="139">
        <f t="shared" ref="E580:E598" si="17">(_xlfn.NORM.DIST(C580,$C$567,$C$569,1)-_xlfn.NORM.DIST(B580,$C$567,$C$569,1))*$E$566</f>
        <v>2.2605464425929753</v>
      </c>
      <c r="F580" s="38">
        <f t="shared" ref="F580:F598" si="18">((D580-E580)^2)/E580</f>
        <v>0.24188468472017011</v>
      </c>
    </row>
    <row r="581" spans="1:6" x14ac:dyDescent="0.6">
      <c r="A581" s="210">
        <v>3</v>
      </c>
      <c r="B581" s="31">
        <f t="shared" ref="B581:B598" si="19">C580</f>
        <v>510</v>
      </c>
      <c r="C581" s="31">
        <f t="shared" ref="C581:C598" si="20">B581+5</f>
        <v>515</v>
      </c>
      <c r="D581" s="31">
        <v>4</v>
      </c>
      <c r="E581" s="139">
        <f t="shared" si="17"/>
        <v>3.4060407823956242</v>
      </c>
      <c r="F581" s="38">
        <f t="shared" si="18"/>
        <v>0.10357701939466227</v>
      </c>
    </row>
    <row r="582" spans="1:6" x14ac:dyDescent="0.6">
      <c r="A582" s="210">
        <v>4</v>
      </c>
      <c r="B582" s="31">
        <f t="shared" si="19"/>
        <v>515</v>
      </c>
      <c r="C582" s="31">
        <f t="shared" si="20"/>
        <v>520</v>
      </c>
      <c r="D582" s="31">
        <v>5</v>
      </c>
      <c r="E582" s="139">
        <f t="shared" si="17"/>
        <v>4.8683557683114325</v>
      </c>
      <c r="F582" s="38">
        <f t="shared" si="18"/>
        <v>3.5597652599009114E-3</v>
      </c>
    </row>
    <row r="583" spans="1:6" x14ac:dyDescent="0.6">
      <c r="A583" s="210">
        <v>5</v>
      </c>
      <c r="B583" s="31">
        <f t="shared" si="19"/>
        <v>520</v>
      </c>
      <c r="C583" s="31">
        <f t="shared" si="20"/>
        <v>525</v>
      </c>
      <c r="D583" s="31">
        <v>10</v>
      </c>
      <c r="E583" s="139">
        <f t="shared" si="17"/>
        <v>6.6010195167958985</v>
      </c>
      <c r="F583" s="38">
        <f t="shared" si="18"/>
        <v>1.7501945412835545</v>
      </c>
    </row>
    <row r="584" spans="1:6" x14ac:dyDescent="0.6">
      <c r="A584" s="210">
        <v>6</v>
      </c>
      <c r="B584" s="31">
        <f t="shared" si="19"/>
        <v>525</v>
      </c>
      <c r="C584" s="31">
        <f t="shared" si="20"/>
        <v>530</v>
      </c>
      <c r="D584" s="31">
        <v>9</v>
      </c>
      <c r="E584" s="139">
        <f t="shared" si="17"/>
        <v>8.4905560372907374</v>
      </c>
      <c r="F584" s="38">
        <f t="shared" si="18"/>
        <v>3.0567273804099567E-2</v>
      </c>
    </row>
    <row r="585" spans="1:6" x14ac:dyDescent="0.6">
      <c r="A585" s="210">
        <v>7</v>
      </c>
      <c r="B585" s="31">
        <f t="shared" si="19"/>
        <v>530</v>
      </c>
      <c r="C585" s="31">
        <f t="shared" si="20"/>
        <v>535</v>
      </c>
      <c r="D585" s="31">
        <v>10</v>
      </c>
      <c r="E585" s="139">
        <f t="shared" si="17"/>
        <v>10.359953118461757</v>
      </c>
      <c r="F585" s="38">
        <f t="shared" si="18"/>
        <v>1.2506451140155497E-2</v>
      </c>
    </row>
    <row r="586" spans="1:6" x14ac:dyDescent="0.6">
      <c r="A586" s="210">
        <v>8</v>
      </c>
      <c r="B586" s="31">
        <f t="shared" si="19"/>
        <v>535</v>
      </c>
      <c r="C586" s="31">
        <f t="shared" si="20"/>
        <v>540</v>
      </c>
      <c r="D586" s="31">
        <v>9</v>
      </c>
      <c r="E586" s="139">
        <f t="shared" si="17"/>
        <v>11.99157134899585</v>
      </c>
      <c r="F586" s="38">
        <f t="shared" si="18"/>
        <v>0.74631579762749445</v>
      </c>
    </row>
    <row r="587" spans="1:6" x14ac:dyDescent="0.6">
      <c r="A587" s="210">
        <v>9</v>
      </c>
      <c r="B587" s="31">
        <f t="shared" si="19"/>
        <v>540</v>
      </c>
      <c r="C587" s="31">
        <f t="shared" si="20"/>
        <v>545</v>
      </c>
      <c r="D587" s="31">
        <v>13</v>
      </c>
      <c r="E587" s="139">
        <f t="shared" si="17"/>
        <v>13.167130146069891</v>
      </c>
      <c r="F587" s="38">
        <f t="shared" si="18"/>
        <v>2.1213799374254863E-3</v>
      </c>
    </row>
    <row r="588" spans="1:6" x14ac:dyDescent="0.6">
      <c r="A588" s="210">
        <v>10</v>
      </c>
      <c r="B588" s="31">
        <f t="shared" si="19"/>
        <v>545</v>
      </c>
      <c r="C588" s="31">
        <f t="shared" si="20"/>
        <v>550</v>
      </c>
      <c r="D588" s="31">
        <v>15</v>
      </c>
      <c r="E588" s="139">
        <f t="shared" si="17"/>
        <v>13.715225028746749</v>
      </c>
      <c r="F588" s="38">
        <f t="shared" si="18"/>
        <v>0.12035141408902002</v>
      </c>
    </row>
    <row r="589" spans="1:6" x14ac:dyDescent="0.6">
      <c r="A589" s="210">
        <v>11</v>
      </c>
      <c r="B589" s="31">
        <f t="shared" si="19"/>
        <v>550</v>
      </c>
      <c r="C589" s="31">
        <f t="shared" si="20"/>
        <v>555</v>
      </c>
      <c r="D589" s="31">
        <v>20</v>
      </c>
      <c r="E589" s="139">
        <f t="shared" si="17"/>
        <v>13.552254406606684</v>
      </c>
      <c r="F589" s="38">
        <f t="shared" si="18"/>
        <v>3.0676389322248854</v>
      </c>
    </row>
    <row r="590" spans="1:6" x14ac:dyDescent="0.6">
      <c r="A590" s="210">
        <v>12</v>
      </c>
      <c r="B590" s="31">
        <f t="shared" si="19"/>
        <v>555</v>
      </c>
      <c r="C590" s="31">
        <f t="shared" si="20"/>
        <v>560</v>
      </c>
      <c r="D590" s="31">
        <v>11</v>
      </c>
      <c r="E590" s="139">
        <f t="shared" si="17"/>
        <v>12.703311463425655</v>
      </c>
      <c r="F590" s="38">
        <f t="shared" si="18"/>
        <v>0.22838690130446271</v>
      </c>
    </row>
    <row r="591" spans="1:6" x14ac:dyDescent="0.6">
      <c r="A591" s="210">
        <v>13</v>
      </c>
      <c r="B591" s="31">
        <f t="shared" si="19"/>
        <v>560</v>
      </c>
      <c r="C591" s="31">
        <f t="shared" si="20"/>
        <v>565</v>
      </c>
      <c r="D591" s="31">
        <v>7</v>
      </c>
      <c r="E591" s="139">
        <f t="shared" si="17"/>
        <v>11.295854889981428</v>
      </c>
      <c r="F591" s="38">
        <f t="shared" si="18"/>
        <v>1.6337293118155207</v>
      </c>
    </row>
    <row r="592" spans="1:6" x14ac:dyDescent="0.6">
      <c r="A592" s="210">
        <v>14</v>
      </c>
      <c r="B592" s="31">
        <f t="shared" si="19"/>
        <v>565</v>
      </c>
      <c r="C592" s="31">
        <f t="shared" si="20"/>
        <v>570</v>
      </c>
      <c r="D592" s="31">
        <v>4</v>
      </c>
      <c r="E592" s="139">
        <f t="shared" si="17"/>
        <v>9.5283556186474332</v>
      </c>
      <c r="F592" s="38">
        <f t="shared" si="18"/>
        <v>3.207554070129162</v>
      </c>
    </row>
    <row r="593" spans="1:6" x14ac:dyDescent="0.6">
      <c r="A593" s="210">
        <v>15</v>
      </c>
      <c r="B593" s="31">
        <f t="shared" si="19"/>
        <v>570</v>
      </c>
      <c r="C593" s="31">
        <f t="shared" si="20"/>
        <v>575</v>
      </c>
      <c r="D593" s="31">
        <v>8</v>
      </c>
      <c r="E593" s="139">
        <f t="shared" si="17"/>
        <v>7.6245359042592717</v>
      </c>
      <c r="F593" s="38">
        <f t="shared" si="18"/>
        <v>1.8489425318549718E-2</v>
      </c>
    </row>
    <row r="594" spans="1:6" x14ac:dyDescent="0.6">
      <c r="A594" s="210">
        <v>16</v>
      </c>
      <c r="B594" s="31">
        <f t="shared" si="19"/>
        <v>575</v>
      </c>
      <c r="C594" s="31">
        <f t="shared" si="20"/>
        <v>580</v>
      </c>
      <c r="D594" s="31">
        <v>7</v>
      </c>
      <c r="E594" s="139">
        <f t="shared" si="17"/>
        <v>5.7876912369634104</v>
      </c>
      <c r="F594" s="38">
        <f t="shared" si="18"/>
        <v>0.25393416420506909</v>
      </c>
    </row>
    <row r="595" spans="1:6" x14ac:dyDescent="0.6">
      <c r="A595" s="210">
        <v>17</v>
      </c>
      <c r="B595" s="31">
        <f t="shared" si="19"/>
        <v>580</v>
      </c>
      <c r="C595" s="31">
        <f t="shared" si="20"/>
        <v>585</v>
      </c>
      <c r="D595" s="31">
        <v>5</v>
      </c>
      <c r="E595" s="139">
        <f t="shared" si="17"/>
        <v>4.1676729516292088</v>
      </c>
      <c r="F595" s="38">
        <f t="shared" si="18"/>
        <v>0.16622425115646836</v>
      </c>
    </row>
    <row r="596" spans="1:6" x14ac:dyDescent="0.6">
      <c r="A596" s="210">
        <v>18</v>
      </c>
      <c r="B596" s="31">
        <f t="shared" si="19"/>
        <v>585</v>
      </c>
      <c r="C596" s="31">
        <f t="shared" si="20"/>
        <v>590</v>
      </c>
      <c r="D596" s="31">
        <v>3</v>
      </c>
      <c r="E596" s="139">
        <f t="shared" si="17"/>
        <v>2.8469384005217813</v>
      </c>
      <c r="F596" s="38">
        <f t="shared" si="18"/>
        <v>8.2291394961467521E-3</v>
      </c>
    </row>
    <row r="597" spans="1:6" x14ac:dyDescent="0.6">
      <c r="A597" s="210">
        <v>19</v>
      </c>
      <c r="B597" s="31">
        <f t="shared" si="19"/>
        <v>590</v>
      </c>
      <c r="C597" s="31">
        <f t="shared" si="20"/>
        <v>595</v>
      </c>
      <c r="D597" s="31">
        <v>1</v>
      </c>
      <c r="E597" s="139">
        <f t="shared" si="17"/>
        <v>1.844838990091191</v>
      </c>
      <c r="F597" s="38">
        <f t="shared" si="18"/>
        <v>0.3868917141343714</v>
      </c>
    </row>
    <row r="598" spans="1:6" x14ac:dyDescent="0.6">
      <c r="A598" s="210">
        <v>20</v>
      </c>
      <c r="B598" s="31">
        <f t="shared" si="19"/>
        <v>595</v>
      </c>
      <c r="C598" s="31">
        <f t="shared" si="20"/>
        <v>600</v>
      </c>
      <c r="D598" s="31">
        <v>5</v>
      </c>
      <c r="E598" s="139">
        <f t="shared" si="17"/>
        <v>1.1340562508225849</v>
      </c>
      <c r="F598" s="38">
        <f t="shared" si="18"/>
        <v>13.178818123848117</v>
      </c>
    </row>
    <row r="599" spans="1:6" x14ac:dyDescent="0.6">
      <c r="A599" s="32" t="s">
        <v>363</v>
      </c>
      <c r="D599" s="32">
        <f>SUM(D579:D598)</f>
        <v>150</v>
      </c>
      <c r="E599" s="32">
        <f t="shared" ref="E599:F599" si="21">SUM(E579:E598)</f>
        <v>146.76913100059915</v>
      </c>
      <c r="F599" s="32">
        <f t="shared" si="21"/>
        <v>25.286827786601581</v>
      </c>
    </row>
    <row r="601" spans="1:6" x14ac:dyDescent="0.6">
      <c r="B601" s="30" t="s">
        <v>1797</v>
      </c>
    </row>
    <row r="603" spans="1:6" x14ac:dyDescent="0.6">
      <c r="A603" s="30" t="s">
        <v>178</v>
      </c>
      <c r="B603" s="30" t="s">
        <v>1798</v>
      </c>
    </row>
    <row r="604" spans="1:6" x14ac:dyDescent="0.6">
      <c r="B604" s="30" t="s">
        <v>1799</v>
      </c>
    </row>
    <row r="605" spans="1:6" x14ac:dyDescent="0.6">
      <c r="B605" s="30" t="s">
        <v>1800</v>
      </c>
      <c r="D605" s="70">
        <f>CHIINV(5%,19)</f>
        <v>30.143527205646155</v>
      </c>
    </row>
    <row r="616" spans="1:5" x14ac:dyDescent="0.6">
      <c r="D616" s="113">
        <v>25.286799999999999</v>
      </c>
      <c r="E616" s="113">
        <v>30.1435</v>
      </c>
    </row>
    <row r="618" spans="1:5" x14ac:dyDescent="0.6">
      <c r="A618" s="30" t="s">
        <v>1468</v>
      </c>
      <c r="B618" s="30" t="s">
        <v>1801</v>
      </c>
    </row>
    <row r="619" spans="1:5" x14ac:dyDescent="0.6">
      <c r="B619" s="30" t="s">
        <v>1802</v>
      </c>
    </row>
    <row r="620" spans="1:5" x14ac:dyDescent="0.6">
      <c r="B620" s="30" t="s">
        <v>1803</v>
      </c>
    </row>
    <row r="622" spans="1:5" x14ac:dyDescent="0.6">
      <c r="B622" s="30" t="s">
        <v>1804</v>
      </c>
      <c r="C622" s="153">
        <f>1-_xlfn.CHISQ.DIST(D616,19,1)</f>
        <v>0.15131684050695149</v>
      </c>
      <c r="D622" s="30" t="s">
        <v>1665</v>
      </c>
    </row>
    <row r="623" spans="1:5" x14ac:dyDescent="0.6">
      <c r="B623" s="30" t="s">
        <v>1805</v>
      </c>
    </row>
    <row r="626" spans="1:4" x14ac:dyDescent="0.6">
      <c r="A626" s="30" t="s">
        <v>67</v>
      </c>
      <c r="B626" s="30" t="s">
        <v>1806</v>
      </c>
    </row>
    <row r="627" spans="1:4" x14ac:dyDescent="0.6">
      <c r="B627" s="30" t="s">
        <v>1807</v>
      </c>
    </row>
    <row r="629" spans="1:4" ht="69.45" x14ac:dyDescent="0.6">
      <c r="B629" s="31" t="s">
        <v>1808</v>
      </c>
      <c r="C629" s="37" t="s">
        <v>1809</v>
      </c>
      <c r="D629" s="37" t="s">
        <v>1810</v>
      </c>
    </row>
    <row r="630" spans="1:4" x14ac:dyDescent="0.6">
      <c r="B630" s="31">
        <v>1</v>
      </c>
      <c r="C630" s="31">
        <v>20</v>
      </c>
      <c r="D630" s="31">
        <v>3</v>
      </c>
    </row>
    <row r="631" spans="1:4" x14ac:dyDescent="0.6">
      <c r="B631" s="31">
        <v>2</v>
      </c>
      <c r="C631" s="31">
        <v>20</v>
      </c>
      <c r="D631" s="31">
        <v>4</v>
      </c>
    </row>
    <row r="632" spans="1:4" x14ac:dyDescent="0.6">
      <c r="B632" s="31">
        <v>3</v>
      </c>
      <c r="C632" s="31">
        <v>20</v>
      </c>
      <c r="D632" s="31">
        <v>3</v>
      </c>
    </row>
    <row r="633" spans="1:4" x14ac:dyDescent="0.6">
      <c r="B633" s="31">
        <v>4</v>
      </c>
      <c r="C633" s="31">
        <v>20</v>
      </c>
      <c r="D633" s="31">
        <v>5</v>
      </c>
    </row>
    <row r="634" spans="1:4" x14ac:dyDescent="0.6">
      <c r="B634" s="31">
        <v>5</v>
      </c>
      <c r="C634" s="31">
        <v>20</v>
      </c>
      <c r="D634" s="31">
        <v>3</v>
      </c>
    </row>
    <row r="635" spans="1:4" x14ac:dyDescent="0.6">
      <c r="B635" s="31">
        <v>6</v>
      </c>
      <c r="C635" s="31">
        <v>20</v>
      </c>
      <c r="D635" s="31">
        <v>2</v>
      </c>
    </row>
    <row r="636" spans="1:4" x14ac:dyDescent="0.6">
      <c r="B636" s="31">
        <v>7</v>
      </c>
      <c r="C636" s="31">
        <v>20</v>
      </c>
      <c r="D636" s="31">
        <v>0</v>
      </c>
    </row>
    <row r="637" spans="1:4" x14ac:dyDescent="0.6">
      <c r="B637" s="31">
        <v>8</v>
      </c>
      <c r="C637" s="31">
        <v>20</v>
      </c>
      <c r="D637" s="31">
        <v>1</v>
      </c>
    </row>
    <row r="638" spans="1:4" x14ac:dyDescent="0.6">
      <c r="B638" s="31">
        <v>9</v>
      </c>
      <c r="C638" s="31">
        <v>20</v>
      </c>
      <c r="D638" s="31">
        <v>4</v>
      </c>
    </row>
    <row r="639" spans="1:4" x14ac:dyDescent="0.6">
      <c r="B639" s="31">
        <v>10</v>
      </c>
      <c r="C639" s="31">
        <v>20</v>
      </c>
      <c r="D639" s="31">
        <v>4</v>
      </c>
    </row>
    <row r="640" spans="1:4" x14ac:dyDescent="0.6">
      <c r="B640" s="31">
        <v>11</v>
      </c>
      <c r="C640" s="31">
        <v>20</v>
      </c>
      <c r="D640" s="31">
        <v>4</v>
      </c>
    </row>
    <row r="641" spans="1:5" x14ac:dyDescent="0.6">
      <c r="B641" s="31">
        <v>12</v>
      </c>
      <c r="C641" s="31">
        <v>20</v>
      </c>
      <c r="D641" s="31">
        <v>4</v>
      </c>
    </row>
    <row r="642" spans="1:5" x14ac:dyDescent="0.6">
      <c r="B642" s="31">
        <v>13</v>
      </c>
      <c r="C642" s="31">
        <v>20</v>
      </c>
      <c r="D642" s="31">
        <v>3</v>
      </c>
    </row>
    <row r="643" spans="1:5" x14ac:dyDescent="0.6">
      <c r="B643" s="31">
        <v>14</v>
      </c>
      <c r="C643" s="31">
        <v>20</v>
      </c>
      <c r="D643" s="31">
        <v>3</v>
      </c>
    </row>
    <row r="644" spans="1:5" x14ac:dyDescent="0.6">
      <c r="B644" s="31">
        <v>15</v>
      </c>
      <c r="C644" s="31">
        <v>20</v>
      </c>
      <c r="D644" s="31">
        <v>3</v>
      </c>
    </row>
    <row r="646" spans="1:5" x14ac:dyDescent="0.6">
      <c r="A646" s="30" t="s">
        <v>1791</v>
      </c>
      <c r="B646" s="30" t="s">
        <v>1792</v>
      </c>
    </row>
    <row r="647" spans="1:5" x14ac:dyDescent="0.6">
      <c r="B647" s="30" t="s">
        <v>1811</v>
      </c>
    </row>
    <row r="648" spans="1:5" x14ac:dyDescent="0.6">
      <c r="B648" s="30" t="s">
        <v>1812</v>
      </c>
    </row>
    <row r="649" spans="1:5" x14ac:dyDescent="0.6">
      <c r="B649" s="30" t="s">
        <v>1813</v>
      </c>
    </row>
    <row r="650" spans="1:5" x14ac:dyDescent="0.6">
      <c r="B650" s="30" t="s">
        <v>1814</v>
      </c>
      <c r="D650" s="33" t="s">
        <v>132</v>
      </c>
      <c r="E650" s="33">
        <v>20</v>
      </c>
    </row>
    <row r="651" spans="1:5" x14ac:dyDescent="0.6">
      <c r="D651" s="33" t="s">
        <v>991</v>
      </c>
      <c r="E651" s="223">
        <v>0.15</v>
      </c>
    </row>
    <row r="652" spans="1:5" x14ac:dyDescent="0.6">
      <c r="A652" s="30" t="s">
        <v>176</v>
      </c>
      <c r="B652" s="30" t="s">
        <v>1765</v>
      </c>
    </row>
    <row r="654" spans="1:5" ht="69.45" x14ac:dyDescent="0.6">
      <c r="A654" s="37" t="s">
        <v>18</v>
      </c>
      <c r="B654" s="37" t="s">
        <v>1815</v>
      </c>
      <c r="C654" s="188" t="s">
        <v>1724</v>
      </c>
      <c r="D654" s="37" t="s">
        <v>1816</v>
      </c>
      <c r="E654" s="37" t="s">
        <v>1726</v>
      </c>
    </row>
    <row r="655" spans="1:5" x14ac:dyDescent="0.6">
      <c r="A655" s="37">
        <v>1</v>
      </c>
      <c r="B655" s="31">
        <v>0</v>
      </c>
      <c r="C655" s="31">
        <f>COUNTIF($D$630:$D$644,B655)</f>
        <v>1</v>
      </c>
      <c r="D655" s="31">
        <f>(_xlfn.BINOM.DIST(B655,$E$650,$E$651,0))*15</f>
        <v>0.58139296626771564</v>
      </c>
      <c r="E655" s="31">
        <f>((C655-D655)^2)/D655</f>
        <v>0.30140001489019108</v>
      </c>
    </row>
    <row r="656" spans="1:5" x14ac:dyDescent="0.6">
      <c r="A656" s="37">
        <v>2</v>
      </c>
      <c r="B656" s="31">
        <v>1</v>
      </c>
      <c r="C656" s="31">
        <f t="shared" ref="C656:C675" si="22">COUNTIF($D$630:$D$644,B656)</f>
        <v>1</v>
      </c>
      <c r="D656" s="31">
        <f t="shared" ref="D656:D675" si="23">(_xlfn.BINOM.DIST(B656,$E$650,$E$651,0))*15</f>
        <v>2.051975175062525</v>
      </c>
      <c r="E656" s="31">
        <f t="shared" ref="E656:E675" si="24">((C656-D656)^2)/D656</f>
        <v>0.53931050550555992</v>
      </c>
    </row>
    <row r="657" spans="1:5" x14ac:dyDescent="0.6">
      <c r="A657" s="37">
        <v>3</v>
      </c>
      <c r="B657" s="31">
        <v>2</v>
      </c>
      <c r="C657" s="31">
        <f t="shared" si="22"/>
        <v>1</v>
      </c>
      <c r="D657" s="31">
        <f t="shared" si="23"/>
        <v>3.4400760287812915</v>
      </c>
      <c r="E657" s="31">
        <f t="shared" si="24"/>
        <v>1.7307672785192421</v>
      </c>
    </row>
    <row r="658" spans="1:5" x14ac:dyDescent="0.6">
      <c r="A658" s="37">
        <v>4</v>
      </c>
      <c r="B658" s="31">
        <v>3</v>
      </c>
      <c r="C658" s="31">
        <f t="shared" si="22"/>
        <v>6</v>
      </c>
      <c r="D658" s="31">
        <f t="shared" si="23"/>
        <v>3.6424334422390139</v>
      </c>
      <c r="E658" s="31">
        <f t="shared" si="24"/>
        <v>1.5259359333293385</v>
      </c>
    </row>
    <row r="659" spans="1:5" x14ac:dyDescent="0.6">
      <c r="A659" s="37">
        <v>5</v>
      </c>
      <c r="B659" s="31">
        <v>4</v>
      </c>
      <c r="C659" s="31">
        <f t="shared" si="22"/>
        <v>5</v>
      </c>
      <c r="D659" s="31">
        <f t="shared" si="23"/>
        <v>2.7318250816792613</v>
      </c>
      <c r="E659" s="31">
        <f t="shared" si="24"/>
        <v>1.8832162771332626</v>
      </c>
    </row>
    <row r="660" spans="1:5" x14ac:dyDescent="0.6">
      <c r="A660" s="37">
        <v>6</v>
      </c>
      <c r="B660" s="31">
        <v>5</v>
      </c>
      <c r="C660" s="31">
        <f t="shared" si="22"/>
        <v>1</v>
      </c>
      <c r="D660" s="31">
        <f t="shared" si="23"/>
        <v>1.5426776931835824</v>
      </c>
      <c r="E660" s="31">
        <f t="shared" si="24"/>
        <v>0.19090123619490768</v>
      </c>
    </row>
    <row r="661" spans="1:5" x14ac:dyDescent="0.6">
      <c r="A661" s="37">
        <v>7</v>
      </c>
      <c r="B661" s="31">
        <v>6</v>
      </c>
      <c r="C661" s="31">
        <f t="shared" si="22"/>
        <v>0</v>
      </c>
      <c r="D661" s="31">
        <f t="shared" si="23"/>
        <v>0.6805930999339338</v>
      </c>
      <c r="E661" s="31">
        <f t="shared" si="24"/>
        <v>0.6805930999339338</v>
      </c>
    </row>
    <row r="662" spans="1:5" x14ac:dyDescent="0.6">
      <c r="A662" s="37">
        <v>8</v>
      </c>
      <c r="B662" s="31">
        <v>7</v>
      </c>
      <c r="C662" s="31">
        <f t="shared" si="22"/>
        <v>0</v>
      </c>
      <c r="D662" s="31">
        <f t="shared" si="23"/>
        <v>0.24020932938844694</v>
      </c>
      <c r="E662" s="31">
        <f t="shared" si="24"/>
        <v>0.24020932938844694</v>
      </c>
    </row>
    <row r="663" spans="1:5" x14ac:dyDescent="0.6">
      <c r="A663" s="37">
        <v>9</v>
      </c>
      <c r="B663" s="31">
        <v>8</v>
      </c>
      <c r="C663" s="31">
        <f t="shared" si="22"/>
        <v>0</v>
      </c>
      <c r="D663" s="31">
        <f t="shared" si="23"/>
        <v>6.8883557692275277E-2</v>
      </c>
      <c r="E663" s="31">
        <f t="shared" si="24"/>
        <v>6.8883557692275277E-2</v>
      </c>
    </row>
    <row r="664" spans="1:5" x14ac:dyDescent="0.6">
      <c r="A664" s="37">
        <v>10</v>
      </c>
      <c r="B664" s="31">
        <v>9</v>
      </c>
      <c r="C664" s="31">
        <f t="shared" si="22"/>
        <v>0</v>
      </c>
      <c r="D664" s="31">
        <f t="shared" si="23"/>
        <v>1.6207895927594168E-2</v>
      </c>
      <c r="E664" s="31">
        <f t="shared" si="24"/>
        <v>1.6207895927594168E-2</v>
      </c>
    </row>
    <row r="665" spans="1:5" x14ac:dyDescent="0.6">
      <c r="A665" s="37">
        <v>11</v>
      </c>
      <c r="B665" s="31">
        <v>10</v>
      </c>
      <c r="C665" s="31">
        <f t="shared" si="22"/>
        <v>0</v>
      </c>
      <c r="D665" s="31">
        <f t="shared" si="23"/>
        <v>3.146238621238865E-3</v>
      </c>
      <c r="E665" s="31">
        <f t="shared" si="24"/>
        <v>3.146238621238865E-3</v>
      </c>
    </row>
    <row r="666" spans="1:5" x14ac:dyDescent="0.6">
      <c r="A666" s="37">
        <v>12</v>
      </c>
      <c r="B666" s="31">
        <v>11</v>
      </c>
      <c r="C666" s="31">
        <f t="shared" si="22"/>
        <v>0</v>
      </c>
      <c r="D666" s="31">
        <f t="shared" si="23"/>
        <v>5.047441638351128E-4</v>
      </c>
      <c r="E666" s="31">
        <f t="shared" si="24"/>
        <v>5.047441638351128E-4</v>
      </c>
    </row>
    <row r="667" spans="1:5" x14ac:dyDescent="0.6">
      <c r="A667" s="37">
        <v>13</v>
      </c>
      <c r="B667" s="31">
        <v>12</v>
      </c>
      <c r="C667" s="31">
        <f t="shared" si="22"/>
        <v>0</v>
      </c>
      <c r="D667" s="31">
        <f t="shared" si="23"/>
        <v>6.6804374625235692E-5</v>
      </c>
      <c r="E667" s="31">
        <f t="shared" si="24"/>
        <v>6.6804374625235692E-5</v>
      </c>
    </row>
    <row r="668" spans="1:5" x14ac:dyDescent="0.6">
      <c r="A668" s="37">
        <v>14</v>
      </c>
      <c r="B668" s="31">
        <v>13</v>
      </c>
      <c r="C668" s="31">
        <f t="shared" si="22"/>
        <v>0</v>
      </c>
      <c r="D668" s="31">
        <f t="shared" si="23"/>
        <v>7.2547737149577102E-6</v>
      </c>
      <c r="E668" s="31">
        <f t="shared" si="24"/>
        <v>7.2547737149577102E-6</v>
      </c>
    </row>
    <row r="669" spans="1:5" x14ac:dyDescent="0.6">
      <c r="A669" s="37">
        <v>15</v>
      </c>
      <c r="B669" s="31">
        <v>14</v>
      </c>
      <c r="C669" s="31">
        <f t="shared" si="22"/>
        <v>0</v>
      </c>
      <c r="D669" s="31">
        <f t="shared" si="23"/>
        <v>6.401270924962669E-7</v>
      </c>
      <c r="E669" s="31">
        <f t="shared" si="24"/>
        <v>6.401270924962669E-7</v>
      </c>
    </row>
    <row r="670" spans="1:5" x14ac:dyDescent="0.6">
      <c r="A670" s="37">
        <v>16</v>
      </c>
      <c r="B670" s="31">
        <v>15</v>
      </c>
      <c r="C670" s="31">
        <f t="shared" si="22"/>
        <v>0</v>
      </c>
      <c r="D670" s="31">
        <f t="shared" si="23"/>
        <v>4.5185441823265946E-8</v>
      </c>
      <c r="E670" s="31">
        <f t="shared" si="24"/>
        <v>4.5185441823265946E-8</v>
      </c>
    </row>
    <row r="671" spans="1:5" x14ac:dyDescent="0.6">
      <c r="A671" s="37">
        <v>17</v>
      </c>
      <c r="B671" s="31">
        <v>16</v>
      </c>
      <c r="C671" s="31">
        <f t="shared" si="22"/>
        <v>0</v>
      </c>
      <c r="D671" s="31">
        <f t="shared" si="23"/>
        <v>2.4918442181948166E-9</v>
      </c>
      <c r="E671" s="31">
        <f t="shared" si="24"/>
        <v>2.4918442181948166E-9</v>
      </c>
    </row>
    <row r="672" spans="1:5" x14ac:dyDescent="0.6">
      <c r="A672" s="37">
        <v>18</v>
      </c>
      <c r="B672" s="31">
        <v>17</v>
      </c>
      <c r="C672" s="31">
        <f t="shared" si="22"/>
        <v>0</v>
      </c>
      <c r="D672" s="31">
        <f t="shared" si="23"/>
        <v>1.0346757999424818E-10</v>
      </c>
      <c r="E672" s="31">
        <f t="shared" si="24"/>
        <v>1.0346757999424818E-10</v>
      </c>
    </row>
    <row r="673" spans="1:5" x14ac:dyDescent="0.6">
      <c r="A673" s="37">
        <v>19</v>
      </c>
      <c r="B673" s="31">
        <v>18</v>
      </c>
      <c r="C673" s="31">
        <f t="shared" si="22"/>
        <v>0</v>
      </c>
      <c r="D673" s="31">
        <f t="shared" si="23"/>
        <v>3.0431641174778938E-12</v>
      </c>
      <c r="E673" s="31">
        <f t="shared" si="24"/>
        <v>3.0431641174778938E-12</v>
      </c>
    </row>
    <row r="674" spans="1:5" x14ac:dyDescent="0.6">
      <c r="A674" s="37">
        <v>20</v>
      </c>
      <c r="B674" s="31">
        <v>19</v>
      </c>
      <c r="C674" s="31">
        <f t="shared" si="22"/>
        <v>0</v>
      </c>
      <c r="D674" s="31">
        <f t="shared" si="23"/>
        <v>5.6529364411354461E-14</v>
      </c>
      <c r="E674" s="31">
        <f t="shared" si="24"/>
        <v>5.6529364411354461E-14</v>
      </c>
    </row>
    <row r="675" spans="1:5" x14ac:dyDescent="0.6">
      <c r="A675" s="37">
        <v>21</v>
      </c>
      <c r="B675" s="31">
        <v>20</v>
      </c>
      <c r="C675" s="31">
        <f t="shared" si="22"/>
        <v>0</v>
      </c>
      <c r="D675" s="31">
        <f t="shared" si="23"/>
        <v>4.9878850951194777E-16</v>
      </c>
      <c r="E675" s="31">
        <f t="shared" si="24"/>
        <v>4.9878850951194777E-16</v>
      </c>
    </row>
    <row r="676" spans="1:5" x14ac:dyDescent="0.6">
      <c r="C676" s="32">
        <f>SUM(C655:C675)</f>
        <v>15</v>
      </c>
      <c r="D676" s="32">
        <f t="shared" ref="D676:E676" si="25">SUM(D655:D675)</f>
        <v>15.000000000000004</v>
      </c>
      <c r="E676" s="32">
        <f t="shared" si="25"/>
        <v>7.1811508583591124</v>
      </c>
    </row>
    <row r="678" spans="1:5" x14ac:dyDescent="0.6">
      <c r="B678" s="30" t="s">
        <v>1817</v>
      </c>
    </row>
    <row r="679" spans="1:5" x14ac:dyDescent="0.6">
      <c r="A679" s="30" t="s">
        <v>178</v>
      </c>
      <c r="B679" s="30" t="s">
        <v>1818</v>
      </c>
    </row>
    <row r="680" spans="1:5" x14ac:dyDescent="0.6">
      <c r="B680" s="30" t="s">
        <v>1799</v>
      </c>
    </row>
    <row r="681" spans="1:5" x14ac:dyDescent="0.6">
      <c r="B681" s="30" t="s">
        <v>1819</v>
      </c>
      <c r="D681" s="32">
        <f>CHIINV(5%,20)</f>
        <v>31.410432844230925</v>
      </c>
    </row>
    <row r="693" spans="1:5" x14ac:dyDescent="0.6">
      <c r="D693" s="113">
        <v>7.1811999999999996</v>
      </c>
      <c r="E693" s="113">
        <v>31.410399999999999</v>
      </c>
    </row>
    <row r="695" spans="1:5" x14ac:dyDescent="0.6">
      <c r="A695" s="30" t="s">
        <v>1468</v>
      </c>
      <c r="B695" s="30" t="s">
        <v>1820</v>
      </c>
    </row>
    <row r="696" spans="1:5" x14ac:dyDescent="0.6">
      <c r="B696" s="30" t="s">
        <v>1802</v>
      </c>
    </row>
    <row r="697" spans="1:5" x14ac:dyDescent="0.6">
      <c r="B697" s="30" t="s">
        <v>1821</v>
      </c>
    </row>
    <row r="698" spans="1:5" x14ac:dyDescent="0.6">
      <c r="B698" s="30" t="s">
        <v>1822</v>
      </c>
    </row>
  </sheetData>
  <mergeCells count="5">
    <mergeCell ref="C425:E425"/>
    <mergeCell ref="C439:E439"/>
    <mergeCell ref="C480:E480"/>
    <mergeCell ref="A544:A545"/>
    <mergeCell ref="B544:C54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1E05-5FA4-412B-BE73-9C244623AF09}">
  <dimension ref="A1:M370"/>
  <sheetViews>
    <sheetView topLeftCell="A117" zoomScale="62" zoomScaleNormal="62" workbookViewId="0">
      <selection activeCell="C13" sqref="C13"/>
    </sheetView>
  </sheetViews>
  <sheetFormatPr defaultColWidth="8.84375" defaultRowHeight="23.15" x14ac:dyDescent="0.6"/>
  <cols>
    <col min="1" max="1" width="12.07421875" style="30" customWidth="1"/>
    <col min="2" max="2" width="41.4609375" style="30" customWidth="1"/>
    <col min="3" max="3" width="33.765625" style="30" customWidth="1"/>
    <col min="4" max="4" width="52.84375" style="30" customWidth="1"/>
    <col min="5" max="5" width="27.4609375" style="30" customWidth="1"/>
    <col min="6" max="6" width="25.07421875" style="30" customWidth="1"/>
    <col min="7" max="7" width="20.4609375" style="30" customWidth="1"/>
    <col min="8" max="8" width="19.4609375" style="30" customWidth="1"/>
    <col min="9" max="9" width="8.84375" style="30"/>
    <col min="10" max="10" width="13.69140625" style="30" customWidth="1"/>
    <col min="11" max="12" width="8.84375" style="30"/>
    <col min="13" max="13" width="10.53515625" style="30" customWidth="1"/>
    <col min="14" max="16384" width="8.84375" style="30"/>
  </cols>
  <sheetData>
    <row r="1" spans="1:6" x14ac:dyDescent="0.6">
      <c r="B1" s="59">
        <v>44832</v>
      </c>
    </row>
    <row r="2" spans="1:6" ht="28.3" x14ac:dyDescent="0.75">
      <c r="B2" s="86" t="s">
        <v>1538</v>
      </c>
    </row>
    <row r="4" spans="1:6" x14ac:dyDescent="0.6">
      <c r="B4" s="30" t="s">
        <v>1840</v>
      </c>
    </row>
    <row r="5" spans="1:6" x14ac:dyDescent="0.6">
      <c r="B5" s="30" t="s">
        <v>1841</v>
      </c>
    </row>
    <row r="7" spans="1:6" x14ac:dyDescent="0.6">
      <c r="A7" s="30" t="s">
        <v>16</v>
      </c>
      <c r="B7" s="30" t="s">
        <v>1842</v>
      </c>
    </row>
    <row r="8" spans="1:6" x14ac:dyDescent="0.6">
      <c r="B8" s="30" t="s">
        <v>1843</v>
      </c>
    </row>
    <row r="9" spans="1:6" x14ac:dyDescent="0.6">
      <c r="B9" s="30" t="s">
        <v>1844</v>
      </c>
    </row>
    <row r="10" spans="1:6" x14ac:dyDescent="0.6">
      <c r="B10" s="31"/>
      <c r="C10" s="31" t="s">
        <v>1845</v>
      </c>
      <c r="D10" s="37" t="s">
        <v>1846</v>
      </c>
      <c r="E10" s="31" t="s">
        <v>1847</v>
      </c>
      <c r="F10" s="31" t="s">
        <v>1848</v>
      </c>
    </row>
    <row r="11" spans="1:6" x14ac:dyDescent="0.6">
      <c r="B11" s="31" t="s">
        <v>1849</v>
      </c>
      <c r="C11" s="31">
        <v>8</v>
      </c>
      <c r="D11" s="31">
        <v>10</v>
      </c>
      <c r="E11" s="31">
        <v>12</v>
      </c>
      <c r="F11" s="31">
        <v>10</v>
      </c>
    </row>
    <row r="12" spans="1:6" x14ac:dyDescent="0.6">
      <c r="B12" s="37" t="s">
        <v>1850</v>
      </c>
      <c r="C12" s="31">
        <v>8500</v>
      </c>
      <c r="D12" s="31">
        <v>7500</v>
      </c>
      <c r="E12" s="31">
        <v>6900</v>
      </c>
      <c r="F12" s="31">
        <v>6800</v>
      </c>
    </row>
    <row r="13" spans="1:6" x14ac:dyDescent="0.6">
      <c r="B13" s="37" t="s">
        <v>1851</v>
      </c>
      <c r="C13" s="31">
        <v>1400</v>
      </c>
      <c r="D13" s="31">
        <v>1000</v>
      </c>
      <c r="E13" s="31">
        <v>950</v>
      </c>
      <c r="F13" s="31">
        <v>1100</v>
      </c>
    </row>
    <row r="15" spans="1:6" x14ac:dyDescent="0.6">
      <c r="B15" s="30" t="s">
        <v>1852</v>
      </c>
    </row>
    <row r="17" spans="1:6" x14ac:dyDescent="0.6">
      <c r="A17" s="30" t="s">
        <v>173</v>
      </c>
      <c r="B17" s="30" t="s">
        <v>456</v>
      </c>
    </row>
    <row r="18" spans="1:6" x14ac:dyDescent="0.6">
      <c r="B18" s="30" t="s">
        <v>1853</v>
      </c>
    </row>
    <row r="19" spans="1:6" x14ac:dyDescent="0.6">
      <c r="B19" s="181" t="s">
        <v>1854</v>
      </c>
    </row>
    <row r="20" spans="1:6" x14ac:dyDescent="0.6">
      <c r="B20" s="30" t="s">
        <v>460</v>
      </c>
    </row>
    <row r="21" spans="1:6" x14ac:dyDescent="0.6">
      <c r="B21" s="30" t="s">
        <v>1855</v>
      </c>
    </row>
    <row r="22" spans="1:6" x14ac:dyDescent="0.6">
      <c r="B22" s="181" t="s">
        <v>1856</v>
      </c>
    </row>
    <row r="24" spans="1:6" x14ac:dyDescent="0.6">
      <c r="A24" s="30" t="s">
        <v>176</v>
      </c>
      <c r="B24" s="30" t="s">
        <v>1857</v>
      </c>
    </row>
    <row r="25" spans="1:6" x14ac:dyDescent="0.6">
      <c r="B25" s="31"/>
      <c r="C25" s="31" t="s">
        <v>1845</v>
      </c>
      <c r="D25" s="37" t="s">
        <v>1858</v>
      </c>
      <c r="E25" s="31" t="s">
        <v>1847</v>
      </c>
      <c r="F25" s="31" t="s">
        <v>1848</v>
      </c>
    </row>
    <row r="26" spans="1:6" x14ac:dyDescent="0.6">
      <c r="B26" s="31" t="s">
        <v>1859</v>
      </c>
      <c r="C26" s="31">
        <v>8</v>
      </c>
      <c r="D26" s="31">
        <v>10</v>
      </c>
      <c r="E26" s="31">
        <v>12</v>
      </c>
      <c r="F26" s="31">
        <v>10</v>
      </c>
    </row>
    <row r="27" spans="1:6" ht="46.3" x14ac:dyDescent="0.6">
      <c r="B27" s="37" t="s">
        <v>1860</v>
      </c>
      <c r="C27" s="31">
        <v>8500</v>
      </c>
      <c r="D27" s="31">
        <v>7500</v>
      </c>
      <c r="E27" s="31">
        <v>6900</v>
      </c>
      <c r="F27" s="31">
        <v>6800</v>
      </c>
    </row>
    <row r="28" spans="1:6" x14ac:dyDescent="0.6">
      <c r="B28" s="37" t="s">
        <v>1861</v>
      </c>
      <c r="C28" s="31">
        <v>1400</v>
      </c>
      <c r="D28" s="31">
        <v>1000</v>
      </c>
      <c r="E28" s="31">
        <v>950</v>
      </c>
      <c r="F28" s="31">
        <v>1100</v>
      </c>
    </row>
    <row r="29" spans="1:6" ht="46.3" x14ac:dyDescent="0.6">
      <c r="B29" s="125" t="s">
        <v>1862</v>
      </c>
      <c r="C29" s="125">
        <f>C28^2</f>
        <v>1960000</v>
      </c>
      <c r="D29" s="125">
        <f t="shared" ref="D29:F29" si="0">D28^2</f>
        <v>1000000</v>
      </c>
      <c r="E29" s="125">
        <f t="shared" si="0"/>
        <v>902500</v>
      </c>
      <c r="F29" s="125">
        <f t="shared" si="0"/>
        <v>1210000</v>
      </c>
    </row>
    <row r="30" spans="1:6" ht="46.3" x14ac:dyDescent="0.6">
      <c r="B30" s="125" t="s">
        <v>1863</v>
      </c>
      <c r="C30" s="125" t="s">
        <v>1864</v>
      </c>
      <c r="D30" s="125">
        <f>SUMPRODUCT(C26:F26,C27:F27)/SUM(C26:F26)</f>
        <v>7345</v>
      </c>
    </row>
    <row r="32" spans="1:6" x14ac:dyDescent="0.6">
      <c r="A32" s="30" t="s">
        <v>178</v>
      </c>
      <c r="B32" s="30" t="s">
        <v>1865</v>
      </c>
    </row>
    <row r="33" spans="1:5" x14ac:dyDescent="0.6">
      <c r="B33" s="30" t="s">
        <v>1866</v>
      </c>
    </row>
    <row r="34" spans="1:5" x14ac:dyDescent="0.6">
      <c r="B34" s="30" t="s">
        <v>1867</v>
      </c>
    </row>
    <row r="35" spans="1:5" x14ac:dyDescent="0.6">
      <c r="B35" s="30" t="s">
        <v>1868</v>
      </c>
    </row>
    <row r="36" spans="1:5" ht="46.3" x14ac:dyDescent="0.6">
      <c r="B36" s="37" t="s">
        <v>1869</v>
      </c>
      <c r="C36" s="37" t="s">
        <v>1870</v>
      </c>
      <c r="D36" s="37" t="s">
        <v>1871</v>
      </c>
      <c r="E36" s="37" t="s">
        <v>1872</v>
      </c>
    </row>
    <row r="37" spans="1:5" x14ac:dyDescent="0.6">
      <c r="B37" s="31">
        <v>8</v>
      </c>
      <c r="C37" s="31">
        <v>8500</v>
      </c>
      <c r="D37" s="197">
        <f>(C37-$D$30)^2</f>
        <v>1334025</v>
      </c>
      <c r="E37" s="37">
        <f>B37*D37</f>
        <v>10672200</v>
      </c>
    </row>
    <row r="38" spans="1:5" x14ac:dyDescent="0.6">
      <c r="B38" s="31">
        <v>10</v>
      </c>
      <c r="C38" s="31">
        <v>7500</v>
      </c>
      <c r="D38" s="197">
        <f t="shared" ref="D38:D40" si="1">(C38-$D$30)^2</f>
        <v>24025</v>
      </c>
      <c r="E38" s="37">
        <f t="shared" ref="E38:E40" si="2">B38*D38</f>
        <v>240250</v>
      </c>
    </row>
    <row r="39" spans="1:5" x14ac:dyDescent="0.6">
      <c r="B39" s="31">
        <v>12</v>
      </c>
      <c r="C39" s="31">
        <v>6900</v>
      </c>
      <c r="D39" s="197">
        <f t="shared" si="1"/>
        <v>198025</v>
      </c>
      <c r="E39" s="37">
        <f t="shared" si="2"/>
        <v>2376300</v>
      </c>
    </row>
    <row r="40" spans="1:5" x14ac:dyDescent="0.6">
      <c r="B40" s="31">
        <v>10</v>
      </c>
      <c r="C40" s="31">
        <v>6800</v>
      </c>
      <c r="D40" s="197">
        <f t="shared" si="1"/>
        <v>297025</v>
      </c>
      <c r="E40" s="37">
        <f t="shared" si="2"/>
        <v>2970250</v>
      </c>
    </row>
    <row r="41" spans="1:5" x14ac:dyDescent="0.6">
      <c r="B41" s="125">
        <f t="shared" ref="B41:E41" si="3">SUM(B37:B40)</f>
        <v>40</v>
      </c>
      <c r="C41" s="37"/>
      <c r="D41" s="37"/>
      <c r="E41" s="125">
        <f t="shared" si="3"/>
        <v>16259000</v>
      </c>
    </row>
    <row r="42" spans="1:5" x14ac:dyDescent="0.6">
      <c r="B42" s="30" t="s">
        <v>1873</v>
      </c>
      <c r="C42" s="96"/>
      <c r="D42" s="96"/>
      <c r="E42" s="214">
        <f>E41/3</f>
        <v>5419666.666666667</v>
      </c>
    </row>
    <row r="44" spans="1:5" x14ac:dyDescent="0.6">
      <c r="A44" s="30" t="s">
        <v>487</v>
      </c>
      <c r="B44" s="30" t="s">
        <v>1874</v>
      </c>
    </row>
    <row r="45" spans="1:5" x14ac:dyDescent="0.6">
      <c r="B45" s="30" t="s">
        <v>1875</v>
      </c>
    </row>
    <row r="46" spans="1:5" x14ac:dyDescent="0.6">
      <c r="B46" s="37" t="s">
        <v>1876</v>
      </c>
      <c r="C46" s="37" t="s">
        <v>1877</v>
      </c>
      <c r="D46" s="37" t="s">
        <v>1878</v>
      </c>
    </row>
    <row r="47" spans="1:5" x14ac:dyDescent="0.6">
      <c r="B47" s="37">
        <f>B37-1</f>
        <v>7</v>
      </c>
      <c r="C47" s="37">
        <v>1960000</v>
      </c>
      <c r="D47" s="37">
        <f>B47*C47</f>
        <v>13720000</v>
      </c>
    </row>
    <row r="48" spans="1:5" x14ac:dyDescent="0.6">
      <c r="B48" s="37">
        <f t="shared" ref="B48:B50" si="4">B38-1</f>
        <v>9</v>
      </c>
      <c r="C48" s="37">
        <v>1000000</v>
      </c>
      <c r="D48" s="37">
        <f t="shared" ref="D48:D50" si="5">B48*C48</f>
        <v>9000000</v>
      </c>
    </row>
    <row r="49" spans="1:6" x14ac:dyDescent="0.6">
      <c r="B49" s="37">
        <f t="shared" si="4"/>
        <v>11</v>
      </c>
      <c r="C49" s="37">
        <v>902500</v>
      </c>
      <c r="D49" s="37">
        <f t="shared" si="5"/>
        <v>9927500</v>
      </c>
    </row>
    <row r="50" spans="1:6" x14ac:dyDescent="0.6">
      <c r="B50" s="37">
        <f t="shared" si="4"/>
        <v>9</v>
      </c>
      <c r="C50" s="37">
        <v>1210000</v>
      </c>
      <c r="D50" s="37">
        <f t="shared" si="5"/>
        <v>10890000</v>
      </c>
    </row>
    <row r="51" spans="1:6" x14ac:dyDescent="0.6">
      <c r="B51" s="125">
        <f t="shared" ref="B51" si="6">SUM(B47:B50)</f>
        <v>36</v>
      </c>
      <c r="C51" s="37"/>
      <c r="D51" s="125">
        <f>SUM(D47:D50)</f>
        <v>43537500</v>
      </c>
    </row>
    <row r="52" spans="1:6" ht="26.15" x14ac:dyDescent="0.7">
      <c r="B52" s="30" t="s">
        <v>1879</v>
      </c>
      <c r="C52" s="134"/>
      <c r="D52" s="134"/>
      <c r="E52" s="198">
        <f>D51/(40-4)</f>
        <v>1209375</v>
      </c>
    </row>
    <row r="54" spans="1:6" ht="26.15" x14ac:dyDescent="0.7">
      <c r="A54" s="30" t="s">
        <v>1468</v>
      </c>
      <c r="B54" s="30" t="s">
        <v>1880</v>
      </c>
      <c r="C54" s="134"/>
      <c r="D54" s="134"/>
      <c r="F54" s="214">
        <f>E42/E52</f>
        <v>4.4813781223083549</v>
      </c>
    </row>
    <row r="56" spans="1:6" x14ac:dyDescent="0.6">
      <c r="B56" s="30" t="s">
        <v>1881</v>
      </c>
    </row>
    <row r="57" spans="1:6" x14ac:dyDescent="0.6">
      <c r="B57" s="30" t="s">
        <v>1882</v>
      </c>
    </row>
    <row r="58" spans="1:6" x14ac:dyDescent="0.6">
      <c r="B58" s="30" t="s">
        <v>1883</v>
      </c>
    </row>
    <row r="59" spans="1:6" x14ac:dyDescent="0.6">
      <c r="B59" s="30" t="s">
        <v>1884</v>
      </c>
      <c r="D59" s="30" t="s">
        <v>1885</v>
      </c>
      <c r="E59" s="125">
        <f>2.8387+0.4*(2.9223-2.8387)</f>
        <v>2.8721399999999999</v>
      </c>
    </row>
    <row r="60" spans="1:6" x14ac:dyDescent="0.6">
      <c r="E60" s="39" t="s">
        <v>1886</v>
      </c>
    </row>
    <row r="61" spans="1:6" x14ac:dyDescent="0.6">
      <c r="B61" s="30" t="s">
        <v>1887</v>
      </c>
      <c r="C61" s="125">
        <f>FINV(5%,3,36)</f>
        <v>2.8662655509401795</v>
      </c>
    </row>
    <row r="62" spans="1:6" x14ac:dyDescent="0.6">
      <c r="C62" s="39" t="s">
        <v>486</v>
      </c>
    </row>
    <row r="75" spans="1:5" x14ac:dyDescent="0.6">
      <c r="D75" s="39">
        <v>2.8662999999999998</v>
      </c>
      <c r="E75" s="113">
        <v>4.4813999999999998</v>
      </c>
    </row>
    <row r="77" spans="1:5" x14ac:dyDescent="0.6">
      <c r="A77" s="30" t="s">
        <v>1568</v>
      </c>
      <c r="B77" s="30" t="s">
        <v>1888</v>
      </c>
    </row>
    <row r="78" spans="1:5" x14ac:dyDescent="0.6">
      <c r="B78" s="30" t="s">
        <v>489</v>
      </c>
    </row>
    <row r="80" spans="1:5" x14ac:dyDescent="0.6">
      <c r="B80" s="30" t="s">
        <v>1855</v>
      </c>
    </row>
    <row r="82" spans="1:9" x14ac:dyDescent="0.6">
      <c r="B82" s="30" t="s">
        <v>1889</v>
      </c>
      <c r="C82" s="85">
        <f>FDIST(E75,3,36)</f>
        <v>8.9845256306168748E-3</v>
      </c>
      <c r="D82" s="30" t="s">
        <v>1890</v>
      </c>
    </row>
    <row r="84" spans="1:9" x14ac:dyDescent="0.6">
      <c r="B84" s="30" t="s">
        <v>1891</v>
      </c>
    </row>
    <row r="85" spans="1:9" ht="28.3" x14ac:dyDescent="0.75">
      <c r="A85" s="30" t="s">
        <v>494</v>
      </c>
      <c r="B85" s="86" t="s">
        <v>495</v>
      </c>
    </row>
    <row r="86" spans="1:9" ht="46.3" x14ac:dyDescent="0.6">
      <c r="A86" s="210" t="s">
        <v>18</v>
      </c>
      <c r="B86" s="36" t="s">
        <v>1892</v>
      </c>
      <c r="C86" s="31" t="s">
        <v>497</v>
      </c>
      <c r="D86" s="31" t="s">
        <v>498</v>
      </c>
      <c r="E86" s="31" t="s">
        <v>499</v>
      </c>
      <c r="F86" s="31" t="s">
        <v>85</v>
      </c>
      <c r="G86" s="31" t="s">
        <v>500</v>
      </c>
      <c r="H86" s="37" t="s">
        <v>491</v>
      </c>
    </row>
    <row r="87" spans="1:9" x14ac:dyDescent="0.6">
      <c r="A87" s="36">
        <v>1</v>
      </c>
      <c r="B87" s="36" t="s">
        <v>1893</v>
      </c>
      <c r="C87" s="31">
        <f>E41</f>
        <v>16259000</v>
      </c>
      <c r="D87" s="31">
        <f>4-1</f>
        <v>3</v>
      </c>
      <c r="E87" s="31">
        <f>C87/D87</f>
        <v>5419666.666666667</v>
      </c>
      <c r="F87" s="31">
        <f>E87/E88</f>
        <v>4.4813781223083549</v>
      </c>
      <c r="G87" s="31">
        <f>FINV(5%,D87,D88)</f>
        <v>2.8662655509401795</v>
      </c>
      <c r="H87" s="36">
        <f>FDIST(F87,D87,D88)</f>
        <v>8.9847269281349545E-3</v>
      </c>
      <c r="I87" s="30" t="s">
        <v>1890</v>
      </c>
    </row>
    <row r="88" spans="1:9" x14ac:dyDescent="0.6">
      <c r="A88" s="36">
        <v>2</v>
      </c>
      <c r="B88" s="36" t="s">
        <v>1894</v>
      </c>
      <c r="C88" s="31">
        <f>D51</f>
        <v>43537500</v>
      </c>
      <c r="D88" s="31">
        <f>40-4</f>
        <v>36</v>
      </c>
      <c r="E88" s="31">
        <f>C88/D88</f>
        <v>1209375</v>
      </c>
    </row>
    <row r="89" spans="1:9" x14ac:dyDescent="0.6">
      <c r="A89" s="36">
        <v>3</v>
      </c>
      <c r="B89" s="36" t="s">
        <v>503</v>
      </c>
      <c r="C89" s="31"/>
      <c r="D89" s="31"/>
      <c r="E89" s="39"/>
    </row>
    <row r="92" spans="1:9" ht="35.6" x14ac:dyDescent="0.9">
      <c r="B92" s="74" t="s">
        <v>1895</v>
      </c>
    </row>
    <row r="93" spans="1:9" ht="30.9" x14ac:dyDescent="0.8">
      <c r="A93" s="30" t="s">
        <v>67</v>
      </c>
      <c r="B93" s="1" t="s">
        <v>1896</v>
      </c>
      <c r="C93" s="2"/>
      <c r="D93" s="2"/>
      <c r="E93"/>
      <c r="F93"/>
    </row>
    <row r="94" spans="1:9" ht="30.9" x14ac:dyDescent="0.8">
      <c r="B94" s="1" t="s">
        <v>1897</v>
      </c>
      <c r="C94" s="2"/>
      <c r="D94" s="2"/>
      <c r="E94"/>
      <c r="F94"/>
    </row>
    <row r="95" spans="1:9" x14ac:dyDescent="0.6">
      <c r="B95" s="242" t="s">
        <v>1898</v>
      </c>
      <c r="C95" s="237" t="s">
        <v>1899</v>
      </c>
      <c r="D95" s="244"/>
      <c r="E95" s="244"/>
      <c r="F95" s="238"/>
    </row>
    <row r="96" spans="1:9" x14ac:dyDescent="0.6">
      <c r="B96" s="243"/>
      <c r="C96" s="37" t="s">
        <v>1900</v>
      </c>
      <c r="D96" s="37" t="s">
        <v>1901</v>
      </c>
      <c r="E96" s="37" t="s">
        <v>1902</v>
      </c>
      <c r="F96" s="37" t="s">
        <v>1903</v>
      </c>
    </row>
    <row r="97" spans="1:6" x14ac:dyDescent="0.6">
      <c r="B97" s="37">
        <v>1</v>
      </c>
      <c r="C97" s="37">
        <v>36</v>
      </c>
      <c r="D97" s="37">
        <v>36</v>
      </c>
      <c r="E97" s="37">
        <v>21</v>
      </c>
      <c r="F97" s="37">
        <v>35</v>
      </c>
    </row>
    <row r="98" spans="1:6" x14ac:dyDescent="0.6">
      <c r="B98" s="37">
        <v>2</v>
      </c>
      <c r="C98" s="37">
        <v>28</v>
      </c>
      <c r="D98" s="37">
        <v>29</v>
      </c>
      <c r="E98" s="37">
        <v>31</v>
      </c>
      <c r="F98" s="37">
        <v>32</v>
      </c>
    </row>
    <row r="99" spans="1:6" x14ac:dyDescent="0.6">
      <c r="B99" s="37">
        <v>3</v>
      </c>
      <c r="C99" s="37">
        <v>26</v>
      </c>
      <c r="D99" s="37">
        <v>28</v>
      </c>
      <c r="E99" s="37">
        <v>29</v>
      </c>
      <c r="F99" s="37">
        <v>29</v>
      </c>
    </row>
    <row r="100" spans="1:6" x14ac:dyDescent="0.6">
      <c r="B100" s="37">
        <v>4</v>
      </c>
      <c r="C100" s="37">
        <v>25</v>
      </c>
      <c r="D100" s="37">
        <v>27</v>
      </c>
      <c r="E100" s="37">
        <v>22</v>
      </c>
      <c r="F100" s="37">
        <v>36</v>
      </c>
    </row>
    <row r="101" spans="1:6" ht="26.15" x14ac:dyDescent="0.7">
      <c r="B101" s="1" t="s">
        <v>1904</v>
      </c>
      <c r="C101" s="134"/>
      <c r="D101" s="134"/>
      <c r="E101" s="134"/>
      <c r="F101" s="134"/>
    </row>
    <row r="102" spans="1:6" ht="26.15" x14ac:dyDescent="0.7">
      <c r="B102" s="1" t="s">
        <v>1905</v>
      </c>
      <c r="C102" s="134"/>
      <c r="D102" s="134"/>
      <c r="E102" s="134"/>
      <c r="F102" s="134"/>
    </row>
    <row r="104" spans="1:6" x14ac:dyDescent="0.6">
      <c r="A104" s="30" t="s">
        <v>173</v>
      </c>
      <c r="B104" s="30" t="s">
        <v>456</v>
      </c>
    </row>
    <row r="105" spans="1:6" x14ac:dyDescent="0.6">
      <c r="B105" s="30" t="s">
        <v>1969</v>
      </c>
    </row>
    <row r="106" spans="1:6" x14ac:dyDescent="0.6">
      <c r="B106" s="181" t="s">
        <v>1906</v>
      </c>
    </row>
    <row r="107" spans="1:6" x14ac:dyDescent="0.6">
      <c r="B107" s="30" t="s">
        <v>460</v>
      </c>
    </row>
    <row r="108" spans="1:6" x14ac:dyDescent="0.6">
      <c r="B108" s="30" t="s">
        <v>1907</v>
      </c>
    </row>
    <row r="109" spans="1:6" x14ac:dyDescent="0.6">
      <c r="B109" s="181" t="s">
        <v>1908</v>
      </c>
    </row>
    <row r="111" spans="1:6" x14ac:dyDescent="0.6">
      <c r="A111" s="30" t="s">
        <v>176</v>
      </c>
      <c r="B111" s="30" t="s">
        <v>1857</v>
      </c>
    </row>
    <row r="112" spans="1:6" x14ac:dyDescent="0.6">
      <c r="B112" s="37"/>
      <c r="C112" s="37" t="s">
        <v>1900</v>
      </c>
      <c r="D112" s="37" t="s">
        <v>1901</v>
      </c>
      <c r="E112" s="37" t="s">
        <v>1902</v>
      </c>
      <c r="F112" s="37" t="s">
        <v>1903</v>
      </c>
    </row>
    <row r="113" spans="1:6" x14ac:dyDescent="0.6">
      <c r="B113" s="37" t="s">
        <v>1909</v>
      </c>
      <c r="C113" s="37">
        <v>4</v>
      </c>
      <c r="D113" s="37">
        <v>4</v>
      </c>
      <c r="E113" s="37">
        <v>4</v>
      </c>
      <c r="F113" s="37">
        <v>4</v>
      </c>
    </row>
    <row r="114" spans="1:6" x14ac:dyDescent="0.6">
      <c r="B114" s="37" t="s">
        <v>1910</v>
      </c>
      <c r="C114" s="215">
        <f>AVERAGE(C97:C100)</f>
        <v>28.75</v>
      </c>
      <c r="D114" s="215">
        <f t="shared" ref="D114:F114" si="7">AVERAGE(D97:D100)</f>
        <v>30</v>
      </c>
      <c r="E114" s="215">
        <f t="shared" si="7"/>
        <v>25.75</v>
      </c>
      <c r="F114" s="215">
        <f t="shared" si="7"/>
        <v>33</v>
      </c>
    </row>
    <row r="115" spans="1:6" x14ac:dyDescent="0.6">
      <c r="B115" s="37" t="s">
        <v>1911</v>
      </c>
      <c r="C115" s="215">
        <f>_xlfn.VAR.S(C97:C100)</f>
        <v>24.916666666666668</v>
      </c>
      <c r="D115" s="215">
        <f t="shared" ref="D115:F115" si="8">_xlfn.VAR.S(D97:D100)</f>
        <v>16.666666666666668</v>
      </c>
      <c r="E115" s="215">
        <f t="shared" si="8"/>
        <v>24.916666666666668</v>
      </c>
      <c r="F115" s="215">
        <f t="shared" si="8"/>
        <v>10</v>
      </c>
    </row>
    <row r="116" spans="1:6" ht="46.3" x14ac:dyDescent="0.6">
      <c r="B116" s="125" t="s">
        <v>1863</v>
      </c>
      <c r="C116" s="125" t="s">
        <v>1864</v>
      </c>
      <c r="D116" s="214">
        <f>SUMPRODUCT(C114:F114,C113:F113)/SUM(C113:F113)</f>
        <v>29.375</v>
      </c>
    </row>
    <row r="118" spans="1:6" x14ac:dyDescent="0.6">
      <c r="A118" s="30" t="s">
        <v>178</v>
      </c>
      <c r="B118" s="30" t="s">
        <v>1912</v>
      </c>
    </row>
    <row r="119" spans="1:6" x14ac:dyDescent="0.6">
      <c r="B119" s="30" t="s">
        <v>1866</v>
      </c>
    </row>
    <row r="120" spans="1:6" x14ac:dyDescent="0.6">
      <c r="B120" s="30" t="s">
        <v>1867</v>
      </c>
    </row>
    <row r="121" spans="1:6" x14ac:dyDescent="0.6">
      <c r="B121" s="30" t="s">
        <v>1868</v>
      </c>
    </row>
    <row r="122" spans="1:6" ht="46.3" x14ac:dyDescent="0.6">
      <c r="B122" s="37" t="s">
        <v>1869</v>
      </c>
      <c r="C122" s="37" t="s">
        <v>1870</v>
      </c>
      <c r="D122" s="37" t="s">
        <v>1871</v>
      </c>
      <c r="E122" s="37" t="s">
        <v>1872</v>
      </c>
    </row>
    <row r="123" spans="1:6" x14ac:dyDescent="0.6">
      <c r="B123" s="37">
        <v>4</v>
      </c>
      <c r="C123" s="216">
        <v>28.75</v>
      </c>
      <c r="D123" s="217">
        <f>(C123-$D$116)^2</f>
        <v>0.390625</v>
      </c>
      <c r="E123" s="37">
        <f>B123*D123</f>
        <v>1.5625</v>
      </c>
    </row>
    <row r="124" spans="1:6" x14ac:dyDescent="0.6">
      <c r="B124" s="37">
        <v>4</v>
      </c>
      <c r="C124" s="216">
        <v>30</v>
      </c>
      <c r="D124" s="217">
        <f t="shared" ref="D124:D126" si="9">(C124-$D$116)^2</f>
        <v>0.390625</v>
      </c>
      <c r="E124" s="37">
        <f t="shared" ref="E124:E126" si="10">B124*D124</f>
        <v>1.5625</v>
      </c>
    </row>
    <row r="125" spans="1:6" x14ac:dyDescent="0.6">
      <c r="B125" s="37">
        <v>4</v>
      </c>
      <c r="C125" s="216">
        <v>25.75</v>
      </c>
      <c r="D125" s="217">
        <f t="shared" si="9"/>
        <v>13.140625</v>
      </c>
      <c r="E125" s="37">
        <f t="shared" si="10"/>
        <v>52.5625</v>
      </c>
    </row>
    <row r="126" spans="1:6" x14ac:dyDescent="0.6">
      <c r="B126" s="37">
        <v>4</v>
      </c>
      <c r="C126" s="216">
        <v>33</v>
      </c>
      <c r="D126" s="217">
        <f t="shared" si="9"/>
        <v>13.140625</v>
      </c>
      <c r="E126" s="37">
        <f t="shared" si="10"/>
        <v>52.5625</v>
      </c>
    </row>
    <row r="127" spans="1:6" x14ac:dyDescent="0.6">
      <c r="B127" s="125">
        <f>SUM(B123:B126)</f>
        <v>16</v>
      </c>
      <c r="C127" s="37"/>
      <c r="D127" s="37"/>
      <c r="E127" s="125">
        <f t="shared" ref="E127" si="11">SUM(E123:E126)</f>
        <v>108.25</v>
      </c>
    </row>
    <row r="128" spans="1:6" x14ac:dyDescent="0.6">
      <c r="B128" s="30" t="s">
        <v>1913</v>
      </c>
      <c r="C128" s="96"/>
      <c r="D128" s="96"/>
      <c r="E128" s="214">
        <f>E127/3</f>
        <v>36.083333333333336</v>
      </c>
    </row>
    <row r="130" spans="1:5" x14ac:dyDescent="0.6">
      <c r="A130" s="30" t="s">
        <v>487</v>
      </c>
      <c r="B130" s="30" t="s">
        <v>1914</v>
      </c>
    </row>
    <row r="131" spans="1:5" x14ac:dyDescent="0.6">
      <c r="B131" s="30" t="s">
        <v>1875</v>
      </c>
    </row>
    <row r="132" spans="1:5" x14ac:dyDescent="0.6">
      <c r="B132" s="37" t="s">
        <v>1915</v>
      </c>
      <c r="C132" s="37" t="s">
        <v>1877</v>
      </c>
      <c r="D132" s="37" t="s">
        <v>1878</v>
      </c>
    </row>
    <row r="133" spans="1:5" x14ac:dyDescent="0.6">
      <c r="B133" s="37">
        <v>3</v>
      </c>
      <c r="C133" s="37">
        <v>24.916666666666668</v>
      </c>
      <c r="D133" s="37">
        <f>B133*C133</f>
        <v>74.75</v>
      </c>
    </row>
    <row r="134" spans="1:5" x14ac:dyDescent="0.6">
      <c r="B134" s="37">
        <v>3</v>
      </c>
      <c r="C134" s="37">
        <v>16.666666666666668</v>
      </c>
      <c r="D134" s="37">
        <f t="shared" ref="D134:D136" si="12">B134*C134</f>
        <v>50</v>
      </c>
    </row>
    <row r="135" spans="1:5" x14ac:dyDescent="0.6">
      <c r="B135" s="37">
        <v>3</v>
      </c>
      <c r="C135" s="37">
        <v>24.916666666666668</v>
      </c>
      <c r="D135" s="37">
        <f t="shared" si="12"/>
        <v>74.75</v>
      </c>
    </row>
    <row r="136" spans="1:5" x14ac:dyDescent="0.6">
      <c r="B136" s="37">
        <v>3</v>
      </c>
      <c r="C136" s="37">
        <v>10</v>
      </c>
      <c r="D136" s="37">
        <f t="shared" si="12"/>
        <v>30</v>
      </c>
    </row>
    <row r="137" spans="1:5" x14ac:dyDescent="0.6">
      <c r="B137" s="125">
        <f>SUM(B133:B136)</f>
        <v>12</v>
      </c>
      <c r="C137" s="37"/>
      <c r="D137" s="125">
        <f t="shared" ref="D137" si="13">SUM(D133:D136)</f>
        <v>229.5</v>
      </c>
    </row>
    <row r="138" spans="1:5" ht="26.15" x14ac:dyDescent="0.7">
      <c r="B138" s="30" t="s">
        <v>1916</v>
      </c>
      <c r="C138" s="134"/>
      <c r="D138" s="134"/>
      <c r="E138" s="198">
        <f>D137/(16-4)</f>
        <v>19.125</v>
      </c>
    </row>
    <row r="140" spans="1:5" ht="26.15" x14ac:dyDescent="0.7">
      <c r="A140" s="30" t="s">
        <v>1468</v>
      </c>
      <c r="B140" s="30" t="s">
        <v>1917</v>
      </c>
      <c r="C140" s="134"/>
      <c r="E140" s="214">
        <f>E128/E138</f>
        <v>1.8867102396514162</v>
      </c>
    </row>
    <row r="142" spans="1:5" x14ac:dyDescent="0.6">
      <c r="B142" s="30" t="s">
        <v>1881</v>
      </c>
      <c r="D142"/>
    </row>
    <row r="143" spans="1:5" x14ac:dyDescent="0.6">
      <c r="B143" s="30" t="s">
        <v>1918</v>
      </c>
      <c r="D143"/>
    </row>
    <row r="144" spans="1:5" x14ac:dyDescent="0.6">
      <c r="B144" s="30" t="s">
        <v>1919</v>
      </c>
      <c r="C144" s="214">
        <f>FINV(5%,3,12)</f>
        <v>3.4902948194976045</v>
      </c>
      <c r="D144" s="30" t="s">
        <v>1920</v>
      </c>
    </row>
    <row r="145" spans="1:5" x14ac:dyDescent="0.6">
      <c r="C145" s="214">
        <f>FINV(5%,3,12)</f>
        <v>3.4902948194976045</v>
      </c>
      <c r="D145" s="30" t="s">
        <v>486</v>
      </c>
    </row>
    <row r="158" spans="1:5" x14ac:dyDescent="0.6">
      <c r="D158" s="39">
        <v>1.8867</v>
      </c>
      <c r="E158" s="39">
        <v>3.4903</v>
      </c>
    </row>
    <row r="160" spans="1:5" x14ac:dyDescent="0.6">
      <c r="A160" s="30" t="s">
        <v>1568</v>
      </c>
      <c r="B160" s="30" t="s">
        <v>1921</v>
      </c>
    </row>
    <row r="161" spans="1:9" x14ac:dyDescent="0.6">
      <c r="B161" s="30" t="s">
        <v>1922</v>
      </c>
    </row>
    <row r="163" spans="1:9" x14ac:dyDescent="0.6">
      <c r="B163" s="30" t="s">
        <v>1891</v>
      </c>
    </row>
    <row r="164" spans="1:9" ht="28.3" x14ac:dyDescent="0.75">
      <c r="A164" s="30" t="s">
        <v>494</v>
      </c>
      <c r="B164" s="86" t="s">
        <v>495</v>
      </c>
    </row>
    <row r="165" spans="1:9" ht="46.3" x14ac:dyDescent="0.6">
      <c r="A165" s="210" t="s">
        <v>18</v>
      </c>
      <c r="B165" s="36" t="s">
        <v>1892</v>
      </c>
      <c r="C165" s="31" t="s">
        <v>497</v>
      </c>
      <c r="D165" s="31" t="s">
        <v>498</v>
      </c>
      <c r="E165" s="31" t="s">
        <v>499</v>
      </c>
      <c r="F165" s="31" t="s">
        <v>85</v>
      </c>
      <c r="G165" s="31" t="s">
        <v>500</v>
      </c>
      <c r="H165" s="37" t="s">
        <v>491</v>
      </c>
    </row>
    <row r="166" spans="1:9" x14ac:dyDescent="0.6">
      <c r="A166" s="210">
        <v>1</v>
      </c>
      <c r="B166" s="36" t="s">
        <v>1893</v>
      </c>
      <c r="C166" s="31">
        <f>E127</f>
        <v>108.25</v>
      </c>
      <c r="D166" s="31">
        <f>4-1</f>
        <v>3</v>
      </c>
      <c r="E166" s="31">
        <f>C166/D166</f>
        <v>36.083333333333336</v>
      </c>
      <c r="F166" s="31">
        <f>E166/E167</f>
        <v>1.8867102396514162</v>
      </c>
      <c r="G166" s="31">
        <f>FINV(5%,D166,D167)</f>
        <v>3.4902948194976045</v>
      </c>
      <c r="H166" s="31">
        <f>FDIST(F166,D166,D167)</f>
        <v>0.18566555170636631</v>
      </c>
      <c r="I166" s="30" t="s">
        <v>1665</v>
      </c>
    </row>
    <row r="167" spans="1:9" x14ac:dyDescent="0.6">
      <c r="A167" s="210">
        <v>2</v>
      </c>
      <c r="B167" s="36" t="s">
        <v>1894</v>
      </c>
      <c r="C167" s="31">
        <f>D137</f>
        <v>229.5</v>
      </c>
      <c r="D167" s="31">
        <f>16-4</f>
        <v>12</v>
      </c>
      <c r="E167" s="31">
        <f>C167/D167</f>
        <v>19.125</v>
      </c>
    </row>
    <row r="168" spans="1:9" x14ac:dyDescent="0.6">
      <c r="A168" s="210">
        <v>3</v>
      </c>
      <c r="B168" s="36" t="s">
        <v>503</v>
      </c>
      <c r="C168" s="31">
        <f>SUM(C166:C167)</f>
        <v>337.75</v>
      </c>
      <c r="D168" s="31">
        <f>SUM(D166:D167)</f>
        <v>15</v>
      </c>
    </row>
    <row r="171" spans="1:9" x14ac:dyDescent="0.6">
      <c r="A171" s="30" t="s">
        <v>286</v>
      </c>
      <c r="B171" s="37"/>
      <c r="C171" s="237" t="s">
        <v>1923</v>
      </c>
      <c r="D171" s="244"/>
      <c r="E171" s="244"/>
      <c r="F171" s="244"/>
      <c r="G171" s="244"/>
      <c r="H171" s="238"/>
    </row>
    <row r="172" spans="1:9" x14ac:dyDescent="0.6">
      <c r="B172" s="37" t="s">
        <v>1924</v>
      </c>
      <c r="C172" s="37" t="s">
        <v>448</v>
      </c>
      <c r="D172" s="37" t="s">
        <v>449</v>
      </c>
      <c r="E172" s="37" t="s">
        <v>450</v>
      </c>
      <c r="F172" s="37" t="s">
        <v>6</v>
      </c>
      <c r="G172" s="37" t="s">
        <v>451</v>
      </c>
      <c r="H172" s="37" t="s">
        <v>85</v>
      </c>
    </row>
    <row r="173" spans="1:9" x14ac:dyDescent="0.6">
      <c r="B173" s="37">
        <v>1</v>
      </c>
      <c r="C173" s="37">
        <v>11</v>
      </c>
      <c r="D173" s="37">
        <v>12</v>
      </c>
      <c r="E173" s="37">
        <v>13</v>
      </c>
      <c r="F173" s="37">
        <v>15</v>
      </c>
      <c r="G173" s="37">
        <v>10</v>
      </c>
      <c r="H173" s="37">
        <v>12</v>
      </c>
    </row>
    <row r="174" spans="1:9" x14ac:dyDescent="0.6">
      <c r="B174" s="37">
        <v>2</v>
      </c>
      <c r="C174" s="37">
        <v>14</v>
      </c>
      <c r="D174" s="37">
        <v>13</v>
      </c>
      <c r="E174" s="37">
        <v>16</v>
      </c>
      <c r="F174" s="37">
        <v>15</v>
      </c>
      <c r="G174" s="37">
        <v>17</v>
      </c>
      <c r="H174" s="37">
        <v>15</v>
      </c>
    </row>
    <row r="175" spans="1:9" x14ac:dyDescent="0.6">
      <c r="B175" s="37">
        <v>3</v>
      </c>
      <c r="C175" s="37">
        <v>10</v>
      </c>
      <c r="D175" s="37">
        <v>12</v>
      </c>
      <c r="E175" s="37">
        <v>14</v>
      </c>
      <c r="F175" s="37">
        <v>16</v>
      </c>
      <c r="G175" s="37">
        <v>15</v>
      </c>
      <c r="H175" s="37">
        <v>18</v>
      </c>
    </row>
    <row r="176" spans="1:9" x14ac:dyDescent="0.6">
      <c r="B176" s="37">
        <v>4</v>
      </c>
      <c r="C176" s="37">
        <v>16</v>
      </c>
      <c r="D176" s="37">
        <v>14</v>
      </c>
      <c r="E176" s="37">
        <v>15</v>
      </c>
      <c r="F176" s="37">
        <v>19</v>
      </c>
      <c r="G176" s="37">
        <v>16</v>
      </c>
      <c r="H176" s="37">
        <v>14</v>
      </c>
    </row>
    <row r="178" spans="1:8" x14ac:dyDescent="0.6">
      <c r="B178" s="30" t="s">
        <v>1925</v>
      </c>
    </row>
    <row r="180" spans="1:8" x14ac:dyDescent="0.6">
      <c r="A180" s="30" t="s">
        <v>173</v>
      </c>
      <c r="B180" s="30" t="s">
        <v>456</v>
      </c>
    </row>
    <row r="181" spans="1:8" x14ac:dyDescent="0.6">
      <c r="B181" s="30" t="s">
        <v>1926</v>
      </c>
    </row>
    <row r="182" spans="1:8" x14ac:dyDescent="0.6">
      <c r="B182" s="181" t="s">
        <v>1927</v>
      </c>
    </row>
    <row r="183" spans="1:8" x14ac:dyDescent="0.6">
      <c r="B183" s="30" t="s">
        <v>460</v>
      </c>
    </row>
    <row r="184" spans="1:8" x14ac:dyDescent="0.6">
      <c r="B184" s="30" t="s">
        <v>1928</v>
      </c>
    </row>
    <row r="185" spans="1:8" x14ac:dyDescent="0.6">
      <c r="B185" s="181" t="s">
        <v>1929</v>
      </c>
    </row>
    <row r="187" spans="1:8" x14ac:dyDescent="0.6">
      <c r="A187" s="30" t="s">
        <v>176</v>
      </c>
      <c r="B187" s="30" t="s">
        <v>1857</v>
      </c>
    </row>
    <row r="188" spans="1:8" x14ac:dyDescent="0.6">
      <c r="B188" s="37"/>
      <c r="C188" s="37" t="s">
        <v>448</v>
      </c>
      <c r="D188" s="37" t="s">
        <v>449</v>
      </c>
      <c r="E188" s="37" t="s">
        <v>450</v>
      </c>
      <c r="F188" s="37" t="s">
        <v>6</v>
      </c>
      <c r="G188" s="37" t="s">
        <v>451</v>
      </c>
      <c r="H188" s="37" t="s">
        <v>85</v>
      </c>
    </row>
    <row r="189" spans="1:8" x14ac:dyDescent="0.6">
      <c r="B189" s="37" t="s">
        <v>1909</v>
      </c>
      <c r="C189" s="37">
        <v>4</v>
      </c>
      <c r="D189" s="37">
        <v>4</v>
      </c>
      <c r="E189" s="37">
        <v>4</v>
      </c>
      <c r="F189" s="37">
        <v>4</v>
      </c>
      <c r="G189" s="37">
        <v>4</v>
      </c>
      <c r="H189" s="37">
        <v>4</v>
      </c>
    </row>
    <row r="190" spans="1:8" x14ac:dyDescent="0.6">
      <c r="B190" s="37" t="s">
        <v>1910</v>
      </c>
      <c r="C190" s="37">
        <f>AVERAGE(C173:C176)</f>
        <v>12.75</v>
      </c>
      <c r="D190" s="37">
        <f t="shared" ref="D190:H190" si="14">AVERAGE(D173:D176)</f>
        <v>12.75</v>
      </c>
      <c r="E190" s="37">
        <f t="shared" si="14"/>
        <v>14.5</v>
      </c>
      <c r="F190" s="37">
        <f t="shared" si="14"/>
        <v>16.25</v>
      </c>
      <c r="G190" s="37">
        <f t="shared" si="14"/>
        <v>14.5</v>
      </c>
      <c r="H190" s="37">
        <f t="shared" si="14"/>
        <v>14.75</v>
      </c>
    </row>
    <row r="191" spans="1:8" x14ac:dyDescent="0.6">
      <c r="B191" s="37" t="s">
        <v>1911</v>
      </c>
      <c r="C191" s="37">
        <f>_xlfn.VAR.S(C173:C176)</f>
        <v>7.583333333333333</v>
      </c>
      <c r="D191" s="37">
        <f t="shared" ref="D191:H191" si="15">_xlfn.VAR.S(D173:D176)</f>
        <v>0.91666666666666663</v>
      </c>
      <c r="E191" s="37">
        <f t="shared" si="15"/>
        <v>1.6666666666666667</v>
      </c>
      <c r="F191" s="37">
        <f t="shared" si="15"/>
        <v>3.5833333333333335</v>
      </c>
      <c r="G191" s="37">
        <f t="shared" si="15"/>
        <v>9.6666666666666661</v>
      </c>
      <c r="H191" s="37">
        <f t="shared" si="15"/>
        <v>6.25</v>
      </c>
    </row>
    <row r="192" spans="1:8" ht="46.3" x14ac:dyDescent="0.6">
      <c r="B192" s="125" t="s">
        <v>1863</v>
      </c>
      <c r="C192" s="125" t="s">
        <v>1864</v>
      </c>
      <c r="D192" s="214">
        <f>SUMPRODUCT(C190:H190,C189:H189)/SUM(C189:H189)</f>
        <v>14.25</v>
      </c>
      <c r="E192" s="37"/>
      <c r="F192" s="37"/>
      <c r="G192" s="37"/>
      <c r="H192" s="37"/>
    </row>
    <row r="194" spans="1:5" x14ac:dyDescent="0.6">
      <c r="A194" s="30" t="s">
        <v>178</v>
      </c>
      <c r="B194" s="30" t="s">
        <v>1912</v>
      </c>
    </row>
    <row r="195" spans="1:5" x14ac:dyDescent="0.6">
      <c r="B195" s="30" t="s">
        <v>1866</v>
      </c>
    </row>
    <row r="196" spans="1:5" x14ac:dyDescent="0.6">
      <c r="B196" s="30" t="s">
        <v>1930</v>
      </c>
    </row>
    <row r="197" spans="1:5" x14ac:dyDescent="0.6">
      <c r="B197" s="30" t="s">
        <v>1868</v>
      </c>
    </row>
    <row r="198" spans="1:5" ht="46.3" x14ac:dyDescent="0.6">
      <c r="B198" s="37" t="s">
        <v>1869</v>
      </c>
      <c r="C198" s="37" t="s">
        <v>1870</v>
      </c>
      <c r="D198" s="37" t="s">
        <v>1871</v>
      </c>
      <c r="E198" s="37" t="s">
        <v>1872</v>
      </c>
    </row>
    <row r="199" spans="1:5" x14ac:dyDescent="0.6">
      <c r="B199" s="37">
        <v>4</v>
      </c>
      <c r="C199" s="37">
        <v>12.75</v>
      </c>
      <c r="D199" s="217">
        <f>(C199-$D$192)^2</f>
        <v>2.25</v>
      </c>
      <c r="E199" s="215">
        <f>B199*D199</f>
        <v>9</v>
      </c>
    </row>
    <row r="200" spans="1:5" x14ac:dyDescent="0.6">
      <c r="B200" s="37">
        <v>4</v>
      </c>
      <c r="C200" s="37">
        <v>12.75</v>
      </c>
      <c r="D200" s="217">
        <f t="shared" ref="D200:D204" si="16">(C200-$D$192)^2</f>
        <v>2.25</v>
      </c>
      <c r="E200" s="215">
        <f t="shared" ref="E200:E202" si="17">B200*D200</f>
        <v>9</v>
      </c>
    </row>
    <row r="201" spans="1:5" x14ac:dyDescent="0.6">
      <c r="B201" s="37">
        <v>4</v>
      </c>
      <c r="C201" s="37">
        <v>14.5</v>
      </c>
      <c r="D201" s="217">
        <f t="shared" si="16"/>
        <v>6.25E-2</v>
      </c>
      <c r="E201" s="215">
        <f t="shared" si="17"/>
        <v>0.25</v>
      </c>
    </row>
    <row r="202" spans="1:5" x14ac:dyDescent="0.6">
      <c r="B202" s="37">
        <v>4</v>
      </c>
      <c r="C202" s="37">
        <v>16.25</v>
      </c>
      <c r="D202" s="217">
        <f t="shared" si="16"/>
        <v>4</v>
      </c>
      <c r="E202" s="215">
        <f t="shared" si="17"/>
        <v>16</v>
      </c>
    </row>
    <row r="203" spans="1:5" x14ac:dyDescent="0.6">
      <c r="B203" s="37">
        <v>4</v>
      </c>
      <c r="C203" s="37">
        <v>14.5</v>
      </c>
      <c r="D203" s="217">
        <f t="shared" si="16"/>
        <v>6.25E-2</v>
      </c>
      <c r="E203" s="215">
        <f>B203*D203</f>
        <v>0.25</v>
      </c>
    </row>
    <row r="204" spans="1:5" x14ac:dyDescent="0.6">
      <c r="B204" s="37">
        <v>4</v>
      </c>
      <c r="C204" s="37">
        <v>14.75</v>
      </c>
      <c r="D204" s="217">
        <f t="shared" si="16"/>
        <v>0.25</v>
      </c>
      <c r="E204" s="215">
        <f t="shared" ref="E204" si="18">B204*D204</f>
        <v>1</v>
      </c>
    </row>
    <row r="205" spans="1:5" x14ac:dyDescent="0.6">
      <c r="E205" s="214">
        <f>SUM(E199:E204)</f>
        <v>35.5</v>
      </c>
    </row>
    <row r="206" spans="1:5" x14ac:dyDescent="0.6">
      <c r="B206" s="30" t="s">
        <v>1931</v>
      </c>
      <c r="C206" s="96"/>
      <c r="D206" s="96"/>
      <c r="E206" s="214">
        <f>E205/5</f>
        <v>7.1</v>
      </c>
    </row>
    <row r="208" spans="1:5" x14ac:dyDescent="0.6">
      <c r="A208" s="30" t="s">
        <v>487</v>
      </c>
      <c r="B208" s="30" t="s">
        <v>1914</v>
      </c>
    </row>
    <row r="209" spans="1:6" x14ac:dyDescent="0.6">
      <c r="B209" s="30" t="s">
        <v>1875</v>
      </c>
    </row>
    <row r="211" spans="1:6" x14ac:dyDescent="0.6">
      <c r="B211" s="37" t="s">
        <v>1915</v>
      </c>
      <c r="C211" s="37" t="s">
        <v>1877</v>
      </c>
      <c r="D211" s="37" t="s">
        <v>1878</v>
      </c>
    </row>
    <row r="212" spans="1:6" x14ac:dyDescent="0.6">
      <c r="B212" s="37">
        <v>3</v>
      </c>
      <c r="C212" s="37">
        <v>7.583333333333333</v>
      </c>
      <c r="D212" s="217">
        <f>B212*C212</f>
        <v>22.75</v>
      </c>
    </row>
    <row r="213" spans="1:6" x14ac:dyDescent="0.6">
      <c r="B213" s="37">
        <v>3</v>
      </c>
      <c r="C213" s="37">
        <v>0.91666666666666663</v>
      </c>
      <c r="D213" s="217">
        <f t="shared" ref="D213:D215" si="19">B213*C213</f>
        <v>2.75</v>
      </c>
    </row>
    <row r="214" spans="1:6" x14ac:dyDescent="0.6">
      <c r="B214" s="37">
        <v>3</v>
      </c>
      <c r="C214" s="37">
        <v>1.6666666666666667</v>
      </c>
      <c r="D214" s="217">
        <f t="shared" si="19"/>
        <v>5</v>
      </c>
    </row>
    <row r="215" spans="1:6" x14ac:dyDescent="0.6">
      <c r="B215" s="37">
        <v>3</v>
      </c>
      <c r="C215" s="37">
        <v>3.5833333333333335</v>
      </c>
      <c r="D215" s="217">
        <f t="shared" si="19"/>
        <v>10.75</v>
      </c>
    </row>
    <row r="216" spans="1:6" x14ac:dyDescent="0.6">
      <c r="B216" s="37">
        <v>3</v>
      </c>
      <c r="C216" s="37">
        <v>9.6666666666666661</v>
      </c>
      <c r="D216" s="217">
        <f>B216*C216</f>
        <v>29</v>
      </c>
    </row>
    <row r="217" spans="1:6" x14ac:dyDescent="0.6">
      <c r="B217" s="37">
        <v>3</v>
      </c>
      <c r="C217" s="37">
        <v>6.25</v>
      </c>
      <c r="D217" s="217">
        <f t="shared" ref="D217" si="20">B217*C217</f>
        <v>18.75</v>
      </c>
    </row>
    <row r="218" spans="1:6" x14ac:dyDescent="0.6">
      <c r="D218" s="214">
        <f>SUM(D212:D217)</f>
        <v>89</v>
      </c>
    </row>
    <row r="219" spans="1:6" ht="26.15" x14ac:dyDescent="0.7">
      <c r="B219" s="30" t="s">
        <v>1932</v>
      </c>
      <c r="C219" s="134"/>
      <c r="D219" s="134"/>
      <c r="E219" s="198">
        <f>D218/(24-6)</f>
        <v>4.9444444444444446</v>
      </c>
    </row>
    <row r="221" spans="1:6" ht="26.15" x14ac:dyDescent="0.7">
      <c r="A221" s="30" t="s">
        <v>1468</v>
      </c>
      <c r="B221" s="30" t="s">
        <v>1933</v>
      </c>
      <c r="C221" s="134"/>
      <c r="D221" s="134"/>
      <c r="E221" s="134"/>
      <c r="F221" s="214">
        <f>E206/E219</f>
        <v>1.4359550561797751</v>
      </c>
    </row>
    <row r="223" spans="1:6" x14ac:dyDescent="0.6">
      <c r="B223" s="30" t="s">
        <v>1934</v>
      </c>
      <c r="D223"/>
    </row>
    <row r="224" spans="1:6" x14ac:dyDescent="0.6">
      <c r="B224" s="30" t="s">
        <v>1935</v>
      </c>
      <c r="D224"/>
    </row>
    <row r="225" spans="1:9" x14ac:dyDescent="0.6">
      <c r="B225" s="30" t="s">
        <v>1936</v>
      </c>
      <c r="C225" s="214">
        <v>2.7728999999999999</v>
      </c>
      <c r="D225" s="30" t="s">
        <v>1920</v>
      </c>
    </row>
    <row r="226" spans="1:9" x14ac:dyDescent="0.6">
      <c r="C226" s="214">
        <f>FINV(5%,5,18)</f>
        <v>2.77285315299783</v>
      </c>
      <c r="D226" s="30" t="s">
        <v>486</v>
      </c>
    </row>
    <row r="228" spans="1:9" x14ac:dyDescent="0.6">
      <c r="A228" s="30" t="s">
        <v>1568</v>
      </c>
      <c r="B228" s="30" t="s">
        <v>1937</v>
      </c>
    </row>
    <row r="229" spans="1:9" x14ac:dyDescent="0.6">
      <c r="B229" s="30" t="s">
        <v>1922</v>
      </c>
    </row>
    <row r="231" spans="1:9" ht="28.3" x14ac:dyDescent="0.75">
      <c r="A231" s="30" t="s">
        <v>494</v>
      </c>
      <c r="B231" s="86" t="s">
        <v>495</v>
      </c>
    </row>
    <row r="232" spans="1:9" ht="46.3" x14ac:dyDescent="0.6">
      <c r="B232" s="36" t="s">
        <v>1892</v>
      </c>
      <c r="C232" s="31" t="s">
        <v>497</v>
      </c>
      <c r="D232" s="31" t="s">
        <v>498</v>
      </c>
      <c r="E232" s="31" t="s">
        <v>499</v>
      </c>
      <c r="F232" s="31" t="s">
        <v>85</v>
      </c>
      <c r="G232" s="31" t="s">
        <v>500</v>
      </c>
      <c r="H232" s="37" t="s">
        <v>491</v>
      </c>
    </row>
    <row r="233" spans="1:9" x14ac:dyDescent="0.6">
      <c r="B233" s="36" t="s">
        <v>1893</v>
      </c>
      <c r="C233" s="38">
        <f>E205</f>
        <v>35.5</v>
      </c>
      <c r="D233" s="31">
        <f>6-1</f>
        <v>5</v>
      </c>
      <c r="E233" s="31">
        <f>C233/D233</f>
        <v>7.1</v>
      </c>
      <c r="F233" s="31">
        <f>E233/E234</f>
        <v>1.4359550561797751</v>
      </c>
      <c r="G233" s="31">
        <f>FINV(5%,D233,D234)</f>
        <v>2.77285315299783</v>
      </c>
      <c r="H233" s="31">
        <f>FDIST(F233,D233,D234)</f>
        <v>0.25915873979698983</v>
      </c>
      <c r="I233" s="30" t="s">
        <v>1665</v>
      </c>
    </row>
    <row r="234" spans="1:9" x14ac:dyDescent="0.6">
      <c r="B234" s="36" t="s">
        <v>1894</v>
      </c>
      <c r="C234" s="38">
        <f>D218</f>
        <v>89</v>
      </c>
      <c r="D234" s="31">
        <f>24-6</f>
        <v>18</v>
      </c>
      <c r="E234" s="31">
        <f>C234/D234</f>
        <v>4.9444444444444446</v>
      </c>
    </row>
    <row r="235" spans="1:9" x14ac:dyDescent="0.6">
      <c r="B235" s="36" t="s">
        <v>503</v>
      </c>
      <c r="C235" s="31">
        <f>SUM(C233:C234)</f>
        <v>124.5</v>
      </c>
      <c r="D235" s="31">
        <f>SUM(D233:D234)</f>
        <v>23</v>
      </c>
    </row>
    <row r="237" spans="1:9" x14ac:dyDescent="0.6">
      <c r="B237" s="30" t="s">
        <v>1938</v>
      </c>
    </row>
    <row r="238" spans="1:9" x14ac:dyDescent="0.6">
      <c r="B238" s="37"/>
      <c r="C238" s="237" t="s">
        <v>1923</v>
      </c>
      <c r="D238" s="244"/>
      <c r="E238" s="244"/>
      <c r="F238" s="244"/>
      <c r="G238" s="244"/>
      <c r="H238" s="238"/>
    </row>
    <row r="239" spans="1:9" x14ac:dyDescent="0.6">
      <c r="B239" s="37" t="s">
        <v>1924</v>
      </c>
      <c r="C239" s="37" t="s">
        <v>448</v>
      </c>
      <c r="D239" s="37" t="s">
        <v>449</v>
      </c>
      <c r="E239" s="37" t="s">
        <v>450</v>
      </c>
      <c r="F239" s="37" t="s">
        <v>6</v>
      </c>
      <c r="G239" s="37" t="s">
        <v>451</v>
      </c>
      <c r="H239" s="37" t="s">
        <v>85</v>
      </c>
    </row>
    <row r="240" spans="1:9" x14ac:dyDescent="0.6">
      <c r="B240" s="37">
        <v>1</v>
      </c>
      <c r="C240" s="37">
        <v>11</v>
      </c>
      <c r="D240" s="37">
        <v>12</v>
      </c>
      <c r="E240" s="37">
        <v>13</v>
      </c>
      <c r="F240" s="37">
        <v>15</v>
      </c>
      <c r="G240" s="37">
        <v>10</v>
      </c>
      <c r="H240" s="37">
        <v>12</v>
      </c>
    </row>
    <row r="241" spans="2:8" x14ac:dyDescent="0.6">
      <c r="B241" s="37">
        <v>2</v>
      </c>
      <c r="C241" s="37">
        <v>14</v>
      </c>
      <c r="D241" s="37">
        <v>13</v>
      </c>
      <c r="E241" s="37">
        <v>16</v>
      </c>
      <c r="F241" s="37">
        <v>15</v>
      </c>
      <c r="G241" s="37">
        <v>17</v>
      </c>
      <c r="H241" s="37">
        <v>15</v>
      </c>
    </row>
    <row r="242" spans="2:8" x14ac:dyDescent="0.6">
      <c r="B242" s="37">
        <v>3</v>
      </c>
      <c r="C242" s="37">
        <v>10</v>
      </c>
      <c r="D242" s="37">
        <v>12</v>
      </c>
      <c r="E242" s="37">
        <v>14</v>
      </c>
      <c r="F242" s="37">
        <v>16</v>
      </c>
      <c r="G242" s="37">
        <v>15</v>
      </c>
      <c r="H242" s="37">
        <v>18</v>
      </c>
    </row>
    <row r="243" spans="2:8" x14ac:dyDescent="0.6">
      <c r="B243" s="37">
        <v>4</v>
      </c>
      <c r="C243" s="37">
        <v>16</v>
      </c>
      <c r="D243" s="37">
        <v>14</v>
      </c>
      <c r="E243" s="37">
        <v>15</v>
      </c>
      <c r="F243" s="37">
        <v>19</v>
      </c>
      <c r="G243" s="37">
        <v>16</v>
      </c>
      <c r="H243" s="37">
        <v>14</v>
      </c>
    </row>
    <row r="245" spans="2:8" ht="26.15" x14ac:dyDescent="0.7">
      <c r="B245" s="1" t="s">
        <v>1939</v>
      </c>
      <c r="C245" s="1"/>
      <c r="D245" s="1"/>
      <c r="E245" s="1"/>
      <c r="F245" s="1"/>
      <c r="G245" s="1"/>
      <c r="H245" s="1"/>
    </row>
    <row r="246" spans="2:8" ht="26.15" x14ac:dyDescent="0.7">
      <c r="B246" s="1"/>
      <c r="C246" s="1"/>
      <c r="D246" s="1"/>
      <c r="E246" s="1"/>
      <c r="F246" s="1"/>
      <c r="G246" s="1"/>
      <c r="H246" s="1"/>
    </row>
    <row r="247" spans="2:8" ht="26.6" thickBot="1" x14ac:dyDescent="0.75">
      <c r="B247" s="1" t="s">
        <v>1940</v>
      </c>
      <c r="C247" s="1"/>
      <c r="D247" s="1"/>
      <c r="E247" s="1"/>
      <c r="F247" s="1"/>
      <c r="G247" s="1"/>
      <c r="H247" s="1"/>
    </row>
    <row r="248" spans="2:8" ht="26.15" x14ac:dyDescent="0.7">
      <c r="B248" s="218" t="s">
        <v>1941</v>
      </c>
      <c r="C248" s="218" t="s">
        <v>269</v>
      </c>
      <c r="D248" s="218" t="s">
        <v>20</v>
      </c>
      <c r="E248" s="218" t="s">
        <v>1942</v>
      </c>
      <c r="F248" s="218" t="s">
        <v>29</v>
      </c>
      <c r="G248" s="1"/>
      <c r="H248" s="1"/>
    </row>
    <row r="249" spans="2:8" ht="26.15" x14ac:dyDescent="0.7">
      <c r="B249" s="3" t="s">
        <v>1943</v>
      </c>
      <c r="C249" s="3">
        <v>4</v>
      </c>
      <c r="D249" s="3">
        <v>51</v>
      </c>
      <c r="E249" s="3">
        <v>12.75</v>
      </c>
      <c r="F249" s="3">
        <v>7.583333333333333</v>
      </c>
      <c r="G249" s="1"/>
      <c r="H249" s="1"/>
    </row>
    <row r="250" spans="2:8" ht="26.15" x14ac:dyDescent="0.7">
      <c r="B250" s="3" t="s">
        <v>1944</v>
      </c>
      <c r="C250" s="3">
        <v>4</v>
      </c>
      <c r="D250" s="3">
        <v>51</v>
      </c>
      <c r="E250" s="3">
        <v>12.75</v>
      </c>
      <c r="F250" s="3">
        <v>0.91666666666666663</v>
      </c>
      <c r="G250" s="1"/>
      <c r="H250" s="1"/>
    </row>
    <row r="251" spans="2:8" ht="26.15" x14ac:dyDescent="0.7">
      <c r="B251" s="3" t="s">
        <v>1945</v>
      </c>
      <c r="C251" s="3">
        <v>4</v>
      </c>
      <c r="D251" s="3">
        <v>58</v>
      </c>
      <c r="E251" s="3">
        <v>14.5</v>
      </c>
      <c r="F251" s="3">
        <v>1.6666666666666667</v>
      </c>
      <c r="G251" s="1"/>
      <c r="H251" s="1"/>
    </row>
    <row r="252" spans="2:8" ht="26.15" x14ac:dyDescent="0.7">
      <c r="B252" s="3" t="s">
        <v>1946</v>
      </c>
      <c r="C252" s="3">
        <v>4</v>
      </c>
      <c r="D252" s="3">
        <v>65</v>
      </c>
      <c r="E252" s="3">
        <v>16.25</v>
      </c>
      <c r="F252" s="3">
        <v>3.5833333333333335</v>
      </c>
      <c r="G252" s="1"/>
      <c r="H252" s="1"/>
    </row>
    <row r="253" spans="2:8" ht="26.15" x14ac:dyDescent="0.7">
      <c r="B253" s="3" t="s">
        <v>1947</v>
      </c>
      <c r="C253" s="3">
        <v>4</v>
      </c>
      <c r="D253" s="3">
        <v>58</v>
      </c>
      <c r="E253" s="3">
        <v>14.5</v>
      </c>
      <c r="F253" s="3">
        <v>9.6666666666666661</v>
      </c>
      <c r="G253" s="1"/>
      <c r="H253" s="1"/>
    </row>
    <row r="254" spans="2:8" ht="26.6" thickBot="1" x14ac:dyDescent="0.75">
      <c r="B254" s="219" t="s">
        <v>1948</v>
      </c>
      <c r="C254" s="219">
        <v>4</v>
      </c>
      <c r="D254" s="219">
        <v>59</v>
      </c>
      <c r="E254" s="219">
        <v>14.75</v>
      </c>
      <c r="F254" s="219">
        <v>6.25</v>
      </c>
      <c r="G254" s="1"/>
      <c r="H254" s="1"/>
    </row>
    <row r="255" spans="2:8" ht="26.15" x14ac:dyDescent="0.7">
      <c r="B255" s="1"/>
      <c r="C255" s="1"/>
      <c r="D255" s="1"/>
      <c r="E255" s="1"/>
      <c r="F255" s="1"/>
      <c r="G255" s="1"/>
      <c r="H255" s="1"/>
    </row>
    <row r="256" spans="2:8" ht="26.15" x14ac:dyDescent="0.7">
      <c r="B256" s="1"/>
      <c r="C256" s="1"/>
      <c r="D256" s="1"/>
      <c r="E256" s="1"/>
      <c r="F256" s="1"/>
      <c r="G256" s="1"/>
      <c r="H256" s="1"/>
    </row>
    <row r="257" spans="1:8" ht="26.6" thickBot="1" x14ac:dyDescent="0.75">
      <c r="B257" s="3" t="s">
        <v>521</v>
      </c>
      <c r="C257" s="3"/>
      <c r="D257" s="3"/>
      <c r="E257" s="3"/>
      <c r="F257" s="3"/>
      <c r="G257" s="3"/>
      <c r="H257" s="3"/>
    </row>
    <row r="258" spans="1:8" ht="26.15" x14ac:dyDescent="0.7">
      <c r="B258" s="218" t="s">
        <v>1949</v>
      </c>
      <c r="C258" s="218" t="s">
        <v>525</v>
      </c>
      <c r="D258" s="218" t="s">
        <v>524</v>
      </c>
      <c r="E258" s="218" t="s">
        <v>526</v>
      </c>
      <c r="F258" s="218" t="s">
        <v>85</v>
      </c>
      <c r="G258" s="218" t="s">
        <v>530</v>
      </c>
      <c r="H258" s="218" t="s">
        <v>1950</v>
      </c>
    </row>
    <row r="259" spans="1:8" ht="26.15" x14ac:dyDescent="0.7">
      <c r="B259" s="3" t="s">
        <v>1951</v>
      </c>
      <c r="C259" s="3">
        <v>35.5</v>
      </c>
      <c r="D259" s="3">
        <v>5</v>
      </c>
      <c r="E259" s="3">
        <v>7.1</v>
      </c>
      <c r="F259" s="3">
        <v>1.4359550561797751</v>
      </c>
      <c r="G259" s="3">
        <v>0.25915873979698983</v>
      </c>
      <c r="H259" s="3">
        <v>2.77285315299783</v>
      </c>
    </row>
    <row r="260" spans="1:8" ht="26.15" x14ac:dyDescent="0.7">
      <c r="B260" s="3" t="s">
        <v>1952</v>
      </c>
      <c r="C260" s="3">
        <v>89</v>
      </c>
      <c r="D260" s="3">
        <v>18</v>
      </c>
      <c r="E260" s="3">
        <v>4.9444444444444446</v>
      </c>
      <c r="F260" s="3"/>
      <c r="G260" s="3"/>
      <c r="H260" s="3"/>
    </row>
    <row r="261" spans="1:8" ht="26.6" thickBot="1" x14ac:dyDescent="0.75">
      <c r="B261" s="219" t="s">
        <v>522</v>
      </c>
      <c r="C261" s="219">
        <v>124.5</v>
      </c>
      <c r="D261" s="219">
        <v>23</v>
      </c>
      <c r="E261" s="219"/>
      <c r="F261" s="219"/>
      <c r="G261" s="219"/>
      <c r="H261" s="219"/>
    </row>
    <row r="264" spans="1:8" ht="35.6" x14ac:dyDescent="0.9">
      <c r="A264" s="29">
        <v>4</v>
      </c>
      <c r="B264" s="74" t="s">
        <v>1539</v>
      </c>
    </row>
    <row r="265" spans="1:8" ht="35.6" x14ac:dyDescent="0.9">
      <c r="A265" s="29"/>
      <c r="B265" s="74"/>
    </row>
    <row r="266" spans="1:8" x14ac:dyDescent="0.6">
      <c r="A266" s="30" t="s">
        <v>16</v>
      </c>
    </row>
    <row r="267" spans="1:8" ht="44.6" x14ac:dyDescent="0.6">
      <c r="A267" s="108" t="s">
        <v>126</v>
      </c>
      <c r="B267" s="84" t="s">
        <v>475</v>
      </c>
      <c r="C267" s="84" t="s">
        <v>476</v>
      </c>
    </row>
    <row r="268" spans="1:8" x14ac:dyDescent="0.6">
      <c r="A268" s="108"/>
      <c r="B268" s="84" t="s">
        <v>63</v>
      </c>
      <c r="C268" s="84" t="s">
        <v>354</v>
      </c>
    </row>
    <row r="269" spans="1:8" x14ac:dyDescent="0.6">
      <c r="A269" s="30">
        <v>1</v>
      </c>
      <c r="B269" s="31">
        <v>3.2</v>
      </c>
      <c r="C269" s="31">
        <v>19.7</v>
      </c>
    </row>
    <row r="270" spans="1:8" x14ac:dyDescent="0.6">
      <c r="A270" s="30">
        <v>2</v>
      </c>
      <c r="B270" s="31">
        <v>3.25</v>
      </c>
      <c r="C270" s="31">
        <v>18.2</v>
      </c>
    </row>
    <row r="271" spans="1:8" x14ac:dyDescent="0.6">
      <c r="A271" s="30">
        <v>3</v>
      </c>
      <c r="B271" s="31">
        <v>5.5</v>
      </c>
      <c r="C271" s="31">
        <v>12.5</v>
      </c>
    </row>
    <row r="272" spans="1:8" x14ac:dyDescent="0.6">
      <c r="A272" s="30">
        <v>4</v>
      </c>
      <c r="B272" s="31">
        <v>4.2</v>
      </c>
      <c r="C272" s="31">
        <v>15.6</v>
      </c>
    </row>
    <row r="273" spans="1:5" x14ac:dyDescent="0.6">
      <c r="A273" s="30">
        <v>5</v>
      </c>
      <c r="B273" s="31">
        <v>6.2</v>
      </c>
      <c r="C273" s="31">
        <v>9.6999999999999993</v>
      </c>
    </row>
    <row r="274" spans="1:5" x14ac:dyDescent="0.6">
      <c r="A274" s="30">
        <v>6</v>
      </c>
      <c r="B274" s="31">
        <v>4.5999999999999996</v>
      </c>
      <c r="C274" s="31">
        <v>16.899999999999999</v>
      </c>
    </row>
    <row r="275" spans="1:5" x14ac:dyDescent="0.6">
      <c r="A275" s="30">
        <v>7</v>
      </c>
      <c r="B275" s="31">
        <v>5.9</v>
      </c>
      <c r="C275" s="31">
        <v>10.8</v>
      </c>
    </row>
    <row r="278" spans="1:5" x14ac:dyDescent="0.6">
      <c r="A278" s="30" t="s">
        <v>173</v>
      </c>
      <c r="B278" s="30" t="s">
        <v>456</v>
      </c>
      <c r="D278" s="31" t="s">
        <v>1953</v>
      </c>
      <c r="E278" s="38">
        <f>AVERAGE(C269:C275)</f>
        <v>14.77142857142857</v>
      </c>
    </row>
    <row r="279" spans="1:5" x14ac:dyDescent="0.6">
      <c r="B279" s="30" t="s">
        <v>458</v>
      </c>
      <c r="D279" s="31" t="s">
        <v>1970</v>
      </c>
      <c r="E279" s="38">
        <f>_xlfn.VAR.P(C269:C275)</f>
        <v>12.559183673469418</v>
      </c>
    </row>
    <row r="280" spans="1:5" x14ac:dyDescent="0.6">
      <c r="B280" s="30" t="s">
        <v>460</v>
      </c>
      <c r="D280" s="31" t="s">
        <v>468</v>
      </c>
      <c r="E280" s="31">
        <f>A275*E279</f>
        <v>87.914285714285924</v>
      </c>
    </row>
    <row r="281" spans="1:5" x14ac:dyDescent="0.6">
      <c r="B281" s="30" t="s">
        <v>461</v>
      </c>
    </row>
    <row r="283" spans="1:5" x14ac:dyDescent="0.6">
      <c r="A283" s="30" t="s">
        <v>176</v>
      </c>
      <c r="B283" s="30" t="s">
        <v>462</v>
      </c>
    </row>
    <row r="284" spans="1:5" ht="46.3" x14ac:dyDescent="0.6">
      <c r="A284" s="30" t="s">
        <v>513</v>
      </c>
      <c r="B284" s="37" t="s">
        <v>1954</v>
      </c>
      <c r="C284" s="31" t="s">
        <v>464</v>
      </c>
      <c r="D284" s="32">
        <f>E304</f>
        <v>5.2909066219346501</v>
      </c>
    </row>
    <row r="285" spans="1:5" ht="46.3" x14ac:dyDescent="0.6">
      <c r="A285" s="30" t="s">
        <v>514</v>
      </c>
      <c r="B285" s="37" t="s">
        <v>1955</v>
      </c>
      <c r="C285" s="31" t="s">
        <v>466</v>
      </c>
      <c r="D285" s="32">
        <f>D286-D284</f>
        <v>82.623379092351271</v>
      </c>
    </row>
    <row r="286" spans="1:5" ht="46.3" x14ac:dyDescent="0.6">
      <c r="A286" s="30" t="s">
        <v>512</v>
      </c>
      <c r="B286" s="37" t="s">
        <v>1956</v>
      </c>
      <c r="C286" s="31" t="s">
        <v>468</v>
      </c>
      <c r="D286" s="32">
        <f>E280</f>
        <v>87.914285714285924</v>
      </c>
    </row>
    <row r="288" spans="1:5" x14ac:dyDescent="0.6">
      <c r="B288" s="30" t="s">
        <v>470</v>
      </c>
    </row>
    <row r="289" spans="1:5" x14ac:dyDescent="0.6">
      <c r="B289" s="30" t="s">
        <v>471</v>
      </c>
    </row>
    <row r="290" spans="1:5" x14ac:dyDescent="0.6">
      <c r="B290" s="30" t="s">
        <v>472</v>
      </c>
    </row>
    <row r="292" spans="1:5" ht="61.3" x14ac:dyDescent="1.55">
      <c r="B292" s="104" t="s">
        <v>473</v>
      </c>
    </row>
    <row r="294" spans="1:5" x14ac:dyDescent="0.6">
      <c r="B294" s="30" t="s">
        <v>474</v>
      </c>
      <c r="D294" s="32" t="s">
        <v>372</v>
      </c>
      <c r="E294" s="32">
        <v>-3.0396996565220866</v>
      </c>
    </row>
    <row r="295" spans="1:5" ht="44.6" x14ac:dyDescent="0.6">
      <c r="B295" s="84" t="s">
        <v>475</v>
      </c>
      <c r="C295" s="84" t="s">
        <v>476</v>
      </c>
      <c r="D295" s="32" t="s">
        <v>374</v>
      </c>
      <c r="E295" s="32">
        <v>29.036304816678644</v>
      </c>
    </row>
    <row r="296" spans="1:5" x14ac:dyDescent="0.6">
      <c r="A296" s="31" t="s">
        <v>18</v>
      </c>
      <c r="B296" s="84" t="s">
        <v>63</v>
      </c>
      <c r="C296" s="84" t="s">
        <v>354</v>
      </c>
      <c r="D296" s="84" t="s">
        <v>477</v>
      </c>
      <c r="E296" s="84" t="s">
        <v>478</v>
      </c>
    </row>
    <row r="297" spans="1:5" x14ac:dyDescent="0.6">
      <c r="A297" s="31">
        <v>1</v>
      </c>
      <c r="B297" s="31">
        <v>3.2</v>
      </c>
      <c r="C297" s="31">
        <v>19.7</v>
      </c>
      <c r="D297" s="31">
        <f>$E$294*B297+$E$295</f>
        <v>19.309265915807966</v>
      </c>
      <c r="E297" s="31">
        <f>(C297-D297)^2</f>
        <v>0.15267312454938675</v>
      </c>
    </row>
    <row r="298" spans="1:5" x14ac:dyDescent="0.6">
      <c r="A298" s="31">
        <v>2</v>
      </c>
      <c r="B298" s="31">
        <v>3.25</v>
      </c>
      <c r="C298" s="31">
        <v>18.2</v>
      </c>
      <c r="D298" s="31">
        <f t="shared" ref="D298:D303" si="21">$E$294*B298+$E$295</f>
        <v>19.157280932981863</v>
      </c>
      <c r="E298" s="31">
        <f t="shared" ref="E298:E303" si="22">(C298-D298)^2</f>
        <v>0.91638678465062651</v>
      </c>
    </row>
    <row r="299" spans="1:5" x14ac:dyDescent="0.6">
      <c r="A299" s="31">
        <v>3</v>
      </c>
      <c r="B299" s="31">
        <v>5.5</v>
      </c>
      <c r="C299" s="31">
        <v>12.5</v>
      </c>
      <c r="D299" s="31">
        <f t="shared" si="21"/>
        <v>12.317956705807166</v>
      </c>
      <c r="E299" s="31">
        <f t="shared" si="22"/>
        <v>3.3139760960578649E-2</v>
      </c>
    </row>
    <row r="300" spans="1:5" x14ac:dyDescent="0.6">
      <c r="A300" s="31">
        <v>4</v>
      </c>
      <c r="B300" s="31">
        <v>4.2</v>
      </c>
      <c r="C300" s="31">
        <v>15.6</v>
      </c>
      <c r="D300" s="31">
        <f t="shared" si="21"/>
        <v>16.269566259285881</v>
      </c>
      <c r="E300" s="31">
        <f t="shared" si="22"/>
        <v>0.44831897557408806</v>
      </c>
    </row>
    <row r="301" spans="1:5" x14ac:dyDescent="0.6">
      <c r="A301" s="31">
        <v>5</v>
      </c>
      <c r="B301" s="31">
        <v>6.2</v>
      </c>
      <c r="C301" s="31">
        <v>9.6999999999999993</v>
      </c>
      <c r="D301" s="31">
        <f t="shared" si="21"/>
        <v>10.190166946241707</v>
      </c>
      <c r="E301" s="31">
        <f t="shared" si="22"/>
        <v>0.24026363518792102</v>
      </c>
    </row>
    <row r="302" spans="1:5" x14ac:dyDescent="0.6">
      <c r="A302" s="31">
        <v>6</v>
      </c>
      <c r="B302" s="31">
        <v>4.5999999999999996</v>
      </c>
      <c r="C302" s="31">
        <v>16.899999999999999</v>
      </c>
      <c r="D302" s="31">
        <f t="shared" si="21"/>
        <v>15.053686396677048</v>
      </c>
      <c r="E302" s="31">
        <f t="shared" si="22"/>
        <v>3.4088739218153794</v>
      </c>
    </row>
    <row r="303" spans="1:5" x14ac:dyDescent="0.6">
      <c r="A303" s="31">
        <v>7</v>
      </c>
      <c r="B303" s="31">
        <v>5.9</v>
      </c>
      <c r="C303" s="31">
        <v>10.8</v>
      </c>
      <c r="D303" s="31">
        <f t="shared" si="21"/>
        <v>11.102076843198333</v>
      </c>
      <c r="E303" s="31">
        <f t="shared" si="22"/>
        <v>9.1250419196669694E-2</v>
      </c>
    </row>
    <row r="304" spans="1:5" x14ac:dyDescent="0.6">
      <c r="D304" s="108" t="s">
        <v>513</v>
      </c>
      <c r="E304" s="32">
        <f>SUM(E297:E303)</f>
        <v>5.2909066219346501</v>
      </c>
    </row>
    <row r="306" spans="1:7" x14ac:dyDescent="0.6">
      <c r="A306" s="30" t="s">
        <v>178</v>
      </c>
      <c r="B306" s="30" t="s">
        <v>1957</v>
      </c>
      <c r="F306" s="32" t="s">
        <v>513</v>
      </c>
      <c r="G306" s="32">
        <v>5.2909066219346501</v>
      </c>
    </row>
    <row r="307" spans="1:7" x14ac:dyDescent="0.6">
      <c r="B307" s="30" t="s">
        <v>480</v>
      </c>
      <c r="D307" s="32">
        <f>(G307/1)/(G306/(7-1-1))</f>
        <v>78.080549323831733</v>
      </c>
      <c r="F307" s="32" t="s">
        <v>514</v>
      </c>
      <c r="G307" s="32">
        <v>82.623379092351271</v>
      </c>
    </row>
    <row r="308" spans="1:7" x14ac:dyDescent="0.6">
      <c r="B308" s="30" t="s">
        <v>1958</v>
      </c>
      <c r="F308" s="32" t="s">
        <v>512</v>
      </c>
      <c r="G308" s="32">
        <v>87.914285714285924</v>
      </c>
    </row>
    <row r="309" spans="1:7" x14ac:dyDescent="0.6">
      <c r="B309" s="30" t="s">
        <v>1971</v>
      </c>
    </row>
    <row r="311" spans="1:7" x14ac:dyDescent="0.6">
      <c r="B311" s="30" t="s">
        <v>1972</v>
      </c>
    </row>
    <row r="312" spans="1:7" x14ac:dyDescent="0.6">
      <c r="B312" s="30" t="s">
        <v>1959</v>
      </c>
    </row>
    <row r="313" spans="1:7" x14ac:dyDescent="0.6">
      <c r="B313" s="30" t="s">
        <v>1960</v>
      </c>
      <c r="C313" s="214">
        <v>6.6078999999999999</v>
      </c>
      <c r="D313" s="30" t="s">
        <v>1920</v>
      </c>
    </row>
    <row r="314" spans="1:7" x14ac:dyDescent="0.6">
      <c r="C314" s="214">
        <f>FINV(5%,1,5)</f>
        <v>6.607890973703368</v>
      </c>
      <c r="D314" s="30" t="s">
        <v>486</v>
      </c>
    </row>
    <row r="316" spans="1:7" x14ac:dyDescent="0.6">
      <c r="A316" s="30" t="s">
        <v>487</v>
      </c>
      <c r="B316" s="30" t="s">
        <v>488</v>
      </c>
    </row>
    <row r="317" spans="1:7" x14ac:dyDescent="0.6">
      <c r="B317" s="30" t="s">
        <v>489</v>
      </c>
    </row>
    <row r="319" spans="1:7" x14ac:dyDescent="0.6">
      <c r="B319" s="30" t="s">
        <v>461</v>
      </c>
    </row>
    <row r="321" spans="1:13" x14ac:dyDescent="0.6">
      <c r="B321" s="32" t="s">
        <v>491</v>
      </c>
      <c r="C321" s="220">
        <f>FDIST(D307,1,5)</f>
        <v>3.0840800858929131E-4</v>
      </c>
      <c r="D321" s="30" t="s">
        <v>538</v>
      </c>
    </row>
    <row r="322" spans="1:13" x14ac:dyDescent="0.6">
      <c r="B322" s="30" t="s">
        <v>1961</v>
      </c>
      <c r="C322" s="221"/>
    </row>
    <row r="324" spans="1:13" ht="28.3" x14ac:dyDescent="0.75">
      <c r="A324" s="30" t="s">
        <v>494</v>
      </c>
      <c r="B324" s="86" t="s">
        <v>495</v>
      </c>
      <c r="J324" s="30">
        <v>6.6078999999999999</v>
      </c>
      <c r="M324" s="30">
        <v>78.08</v>
      </c>
    </row>
    <row r="325" spans="1:13" ht="46.3" x14ac:dyDescent="0.6">
      <c r="B325" s="36" t="s">
        <v>496</v>
      </c>
      <c r="C325" s="31" t="s">
        <v>497</v>
      </c>
      <c r="D325" s="31" t="s">
        <v>498</v>
      </c>
      <c r="E325" s="31" t="s">
        <v>499</v>
      </c>
      <c r="F325" s="31" t="s">
        <v>85</v>
      </c>
      <c r="G325" s="31" t="s">
        <v>500</v>
      </c>
      <c r="H325" s="37" t="s">
        <v>491</v>
      </c>
    </row>
    <row r="326" spans="1:13" x14ac:dyDescent="0.6">
      <c r="A326" s="30" t="s">
        <v>514</v>
      </c>
      <c r="B326" s="36" t="s">
        <v>501</v>
      </c>
      <c r="C326" s="31">
        <f>G307</f>
        <v>82.623379092351271</v>
      </c>
      <c r="D326" s="31">
        <v>1</v>
      </c>
      <c r="E326" s="31">
        <f>C326/D326</f>
        <v>82.623379092351271</v>
      </c>
      <c r="F326" s="31">
        <f>E326/E327</f>
        <v>78.080549323831733</v>
      </c>
      <c r="G326" s="36">
        <f>FINV(5%,1,5)</f>
        <v>6.607890973703368</v>
      </c>
      <c r="H326" s="33">
        <f>FDIST(F326,D326,D327)</f>
        <v>3.0840800858929131E-4</v>
      </c>
      <c r="I326" s="30" t="s">
        <v>492</v>
      </c>
    </row>
    <row r="327" spans="1:13" x14ac:dyDescent="0.6">
      <c r="A327" s="30" t="s">
        <v>513</v>
      </c>
      <c r="B327" s="36" t="s">
        <v>502</v>
      </c>
      <c r="C327" s="31">
        <f>G306</f>
        <v>5.2909066219346501</v>
      </c>
      <c r="D327" s="31">
        <f>7-1-1</f>
        <v>5</v>
      </c>
      <c r="E327" s="31">
        <f>C327/D327</f>
        <v>1.05818132438693</v>
      </c>
    </row>
    <row r="328" spans="1:13" x14ac:dyDescent="0.6">
      <c r="A328" s="30" t="s">
        <v>512</v>
      </c>
      <c r="B328" s="36" t="s">
        <v>503</v>
      </c>
      <c r="C328" s="31">
        <f>SUM(C326:C327)</f>
        <v>87.914285714285924</v>
      </c>
      <c r="D328" s="31">
        <f>SUM(D326:D327)</f>
        <v>6</v>
      </c>
    </row>
    <row r="331" spans="1:13" x14ac:dyDescent="0.6">
      <c r="B331" s="30" t="s">
        <v>1962</v>
      </c>
    </row>
    <row r="332" spans="1:13" ht="44.6" x14ac:dyDescent="0.6">
      <c r="B332" s="84" t="s">
        <v>475</v>
      </c>
      <c r="C332" s="84" t="s">
        <v>476</v>
      </c>
    </row>
    <row r="333" spans="1:13" x14ac:dyDescent="0.6">
      <c r="A333" s="31" t="s">
        <v>18</v>
      </c>
      <c r="B333" s="84" t="s">
        <v>63</v>
      </c>
      <c r="C333" s="84" t="s">
        <v>354</v>
      </c>
    </row>
    <row r="334" spans="1:13" x14ac:dyDescent="0.6">
      <c r="A334" s="31">
        <v>1</v>
      </c>
      <c r="B334" s="31">
        <v>3.2</v>
      </c>
      <c r="C334" s="31">
        <v>19.7</v>
      </c>
    </row>
    <row r="335" spans="1:13" x14ac:dyDescent="0.6">
      <c r="A335" s="31">
        <v>2</v>
      </c>
      <c r="B335" s="31">
        <v>3.25</v>
      </c>
      <c r="C335" s="31">
        <v>18.2</v>
      </c>
    </row>
    <row r="336" spans="1:13" x14ac:dyDescent="0.6">
      <c r="A336" s="31">
        <v>3</v>
      </c>
      <c r="B336" s="31">
        <v>5.5</v>
      </c>
      <c r="C336" s="31">
        <v>12.5</v>
      </c>
    </row>
    <row r="337" spans="1:7" x14ac:dyDescent="0.6">
      <c r="A337" s="31">
        <v>4</v>
      </c>
      <c r="B337" s="31">
        <v>4.2</v>
      </c>
      <c r="C337" s="31">
        <v>15.6</v>
      </c>
    </row>
    <row r="338" spans="1:7" x14ac:dyDescent="0.6">
      <c r="A338" s="31">
        <v>5</v>
      </c>
      <c r="B338" s="31">
        <v>6.2</v>
      </c>
      <c r="C338" s="31">
        <v>9.6999999999999993</v>
      </c>
    </row>
    <row r="339" spans="1:7" x14ac:dyDescent="0.6">
      <c r="A339" s="31">
        <v>6</v>
      </c>
      <c r="B339" s="31">
        <v>4.5999999999999996</v>
      </c>
      <c r="C339" s="31">
        <v>16.899999999999999</v>
      </c>
    </row>
    <row r="340" spans="1:7" x14ac:dyDescent="0.6">
      <c r="A340" s="31">
        <v>7</v>
      </c>
      <c r="B340" s="31">
        <v>5.9</v>
      </c>
      <c r="C340" s="31">
        <v>10.8</v>
      </c>
    </row>
    <row r="342" spans="1:7" x14ac:dyDescent="0.6">
      <c r="B342" s="30" t="s">
        <v>515</v>
      </c>
    </row>
    <row r="343" spans="1:7" ht="23.6" thickBot="1" x14ac:dyDescent="0.65"/>
    <row r="344" spans="1:7" x14ac:dyDescent="0.6">
      <c r="B344" s="88" t="s">
        <v>516</v>
      </c>
      <c r="C344" s="88"/>
    </row>
    <row r="345" spans="1:7" x14ac:dyDescent="0.6">
      <c r="B345" s="30" t="s">
        <v>517</v>
      </c>
      <c r="C345" s="30">
        <v>0.96944181967741094</v>
      </c>
    </row>
    <row r="346" spans="1:7" x14ac:dyDescent="0.6">
      <c r="B346" s="30" t="s">
        <v>518</v>
      </c>
      <c r="C346" s="30">
        <v>0.93981744173944981</v>
      </c>
    </row>
    <row r="347" spans="1:7" x14ac:dyDescent="0.6">
      <c r="B347" s="30" t="s">
        <v>519</v>
      </c>
      <c r="C347" s="30">
        <v>0.92778093008733964</v>
      </c>
    </row>
    <row r="348" spans="1:7" x14ac:dyDescent="0.6">
      <c r="B348" s="30" t="s">
        <v>261</v>
      </c>
      <c r="C348" s="30">
        <v>1.0286794079726347</v>
      </c>
    </row>
    <row r="349" spans="1:7" ht="23.6" thickBot="1" x14ac:dyDescent="0.65">
      <c r="B349" s="89" t="s">
        <v>520</v>
      </c>
      <c r="C349" s="89">
        <v>7</v>
      </c>
    </row>
    <row r="351" spans="1:7" ht="23.6" thickBot="1" x14ac:dyDescent="0.65">
      <c r="B351" s="30" t="s">
        <v>521</v>
      </c>
    </row>
    <row r="352" spans="1:7" x14ac:dyDescent="0.6">
      <c r="B352" s="90"/>
      <c r="C352" s="90" t="s">
        <v>524</v>
      </c>
      <c r="D352" s="90" t="s">
        <v>525</v>
      </c>
      <c r="E352" s="90" t="s">
        <v>526</v>
      </c>
      <c r="F352" s="90" t="s">
        <v>85</v>
      </c>
      <c r="G352" s="90" t="s">
        <v>527</v>
      </c>
    </row>
    <row r="353" spans="1:10" x14ac:dyDescent="0.6">
      <c r="B353" s="39" t="s">
        <v>501</v>
      </c>
      <c r="C353" s="39">
        <v>1</v>
      </c>
      <c r="D353" s="39">
        <v>82.623379092351044</v>
      </c>
      <c r="E353" s="39">
        <v>82.623379092351044</v>
      </c>
      <c r="F353" s="39">
        <v>78.080549323831519</v>
      </c>
      <c r="G353" s="39">
        <v>3.0840800858929326E-4</v>
      </c>
      <c r="H353" s="30" t="s">
        <v>492</v>
      </c>
    </row>
    <row r="354" spans="1:10" x14ac:dyDescent="0.6">
      <c r="B354" s="39" t="s">
        <v>502</v>
      </c>
      <c r="C354" s="39">
        <v>5</v>
      </c>
      <c r="D354" s="39">
        <v>5.2909066219346501</v>
      </c>
      <c r="E354" s="39">
        <v>1.05818132438693</v>
      </c>
      <c r="F354" s="39"/>
      <c r="G354" s="39"/>
    </row>
    <row r="355" spans="1:10" ht="23.6" thickBot="1" x14ac:dyDescent="0.65">
      <c r="B355" s="222" t="s">
        <v>522</v>
      </c>
      <c r="C355" s="222">
        <v>6</v>
      </c>
      <c r="D355" s="222">
        <v>87.914285714285697</v>
      </c>
      <c r="E355" s="222"/>
      <c r="F355" s="222"/>
      <c r="G355" s="222"/>
    </row>
    <row r="356" spans="1:10" ht="23.6" thickBot="1" x14ac:dyDescent="0.65"/>
    <row r="357" spans="1:10" x14ac:dyDescent="0.6">
      <c r="B357" s="90"/>
      <c r="C357" s="90" t="s">
        <v>528</v>
      </c>
      <c r="D357" s="90" t="s">
        <v>261</v>
      </c>
      <c r="E357" s="90" t="s">
        <v>529</v>
      </c>
      <c r="F357" s="90" t="s">
        <v>530</v>
      </c>
      <c r="G357" s="90" t="s">
        <v>531</v>
      </c>
      <c r="H357" s="90" t="s">
        <v>532</v>
      </c>
      <c r="I357" s="90" t="s">
        <v>533</v>
      </c>
      <c r="J357" s="90" t="s">
        <v>534</v>
      </c>
    </row>
    <row r="358" spans="1:10" x14ac:dyDescent="0.6">
      <c r="B358" s="30" t="s">
        <v>523</v>
      </c>
      <c r="C358" s="30">
        <v>29.036304816678644</v>
      </c>
      <c r="D358" s="30">
        <v>1.6605063215424407</v>
      </c>
      <c r="E358" s="30">
        <v>17.486416305664459</v>
      </c>
      <c r="F358" s="30">
        <v>1.1212472502421004E-5</v>
      </c>
      <c r="G358" s="30">
        <v>24.767837428562373</v>
      </c>
      <c r="H358" s="30">
        <v>33.304772204794915</v>
      </c>
      <c r="I358" s="30">
        <v>24.767837428562373</v>
      </c>
      <c r="J358" s="30">
        <v>33.304772204794915</v>
      </c>
    </row>
    <row r="359" spans="1:10" ht="23.6" thickBot="1" x14ac:dyDescent="0.65">
      <c r="B359" s="89" t="s">
        <v>1963</v>
      </c>
      <c r="C359" s="89">
        <v>-3.0396996565220862</v>
      </c>
      <c r="D359" s="89">
        <v>0.34400063509705398</v>
      </c>
      <c r="E359" s="89">
        <v>-8.8363198970969528</v>
      </c>
      <c r="F359" s="89">
        <v>3.0840800858929326E-4</v>
      </c>
      <c r="G359" s="89">
        <v>-3.9239814405499294</v>
      </c>
      <c r="H359" s="89">
        <v>-2.155417872494243</v>
      </c>
      <c r="I359" s="89">
        <v>-3.9239814405499294</v>
      </c>
      <c r="J359" s="89">
        <v>-2.155417872494243</v>
      </c>
    </row>
    <row r="361" spans="1:10" x14ac:dyDescent="0.6">
      <c r="B361" s="30" t="s">
        <v>1973</v>
      </c>
    </row>
    <row r="362" spans="1:10" ht="33.450000000000003" x14ac:dyDescent="0.85">
      <c r="B362" s="29" t="s">
        <v>1964</v>
      </c>
    </row>
    <row r="363" spans="1:10" ht="26.15" x14ac:dyDescent="0.7">
      <c r="B363" s="50" t="s">
        <v>1974</v>
      </c>
    </row>
    <row r="364" spans="1:10" x14ac:dyDescent="0.6">
      <c r="A364" s="30" t="s">
        <v>173</v>
      </c>
      <c r="B364" s="30" t="s">
        <v>1965</v>
      </c>
      <c r="D364" s="32">
        <f>SQRT(D354/(C354))</f>
        <v>1.0286794079726347</v>
      </c>
    </row>
    <row r="366" spans="1:10" x14ac:dyDescent="0.6">
      <c r="A366" s="30" t="s">
        <v>176</v>
      </c>
      <c r="B366" s="30" t="s">
        <v>1966</v>
      </c>
      <c r="E366" s="32">
        <f>C359*6.2+C358</f>
        <v>10.19016694624171</v>
      </c>
      <c r="F366" s="30" t="s">
        <v>1975</v>
      </c>
    </row>
    <row r="368" spans="1:10" x14ac:dyDescent="0.6">
      <c r="A368" s="30" t="s">
        <v>178</v>
      </c>
      <c r="B368" s="30" t="s">
        <v>1967</v>
      </c>
      <c r="E368" s="32">
        <f>TINV(5%,5)</f>
        <v>2.570581835636315</v>
      </c>
      <c r="F368" s="32"/>
    </row>
    <row r="370" spans="1:5" x14ac:dyDescent="0.6">
      <c r="A370" s="30" t="s">
        <v>487</v>
      </c>
      <c r="B370" s="30" t="s">
        <v>1968</v>
      </c>
      <c r="D370" s="32">
        <f>E366-(E368*D364)</f>
        <v>7.5458623454141378</v>
      </c>
      <c r="E370" s="32">
        <f>(E366+(E368*D364))</f>
        <v>12.834471547069283</v>
      </c>
    </row>
  </sheetData>
  <mergeCells count="4">
    <mergeCell ref="B95:B96"/>
    <mergeCell ref="C95:F95"/>
    <mergeCell ref="C171:H171"/>
    <mergeCell ref="C238:H238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</vt:lpstr>
      <vt:lpstr>Regression</vt:lpstr>
      <vt:lpstr>Moving Averages</vt:lpstr>
      <vt:lpstr>Probability</vt:lpstr>
      <vt:lpstr>Inferential</vt:lpstr>
      <vt:lpstr>Hypotheis Testing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dasgupta</dc:creator>
  <cp:lastModifiedBy>Asus</cp:lastModifiedBy>
  <dcterms:created xsi:type="dcterms:W3CDTF">2021-07-12T08:29:17Z</dcterms:created>
  <dcterms:modified xsi:type="dcterms:W3CDTF">2022-12-20T11:07:46Z</dcterms:modified>
</cp:coreProperties>
</file>